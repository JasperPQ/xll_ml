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xlsx\"/>
    </mc:Choice>
  </mc:AlternateContent>
  <xr:revisionPtr revIDLastSave="0" documentId="13_ncr:1_{E0BDA80E-64D6-40C5-A9A4-62D010F53E9F}" xr6:coauthVersionLast="47" xr6:coauthVersionMax="47" xr10:uidLastSave="{00000000-0000-0000-0000-000000000000}"/>
  <bookViews>
    <workbookView xWindow="-98" yWindow="-98" windowWidth="22276" windowHeight="13996" activeTab="1" xr2:uid="{5E38A752-04D7-4C78-952F-E31FCF3159F7}"/>
  </bookViews>
  <sheets>
    <sheet name="Elementary" sheetId="1" r:id="rId1"/>
    <sheet name="Simulation" sheetId="4" r:id="rId2"/>
  </sheets>
  <definedNames>
    <definedName name="_M">_xlfn.ANCHORARRAY(Simulation!$H$10)</definedName>
    <definedName name="_N">_xlfn.ANCHORARRAY(Simulation!$I$10)</definedName>
    <definedName name="A">_xlfn.ANCHORARRAY(Simulation!$K$10)</definedName>
    <definedName name="ad">_xlfn.LAMBDA(_xlpm.x, _xlfn.VSTACK(_xlfn.TAKE(_xlpm.x,1), _xlfn.DROP(_xlpm.x,1) - _xlfn.DROP(_xlpm.x,-1)))</definedName>
    <definedName name="B_">_xlfn.ANCHORARRAY(Simulation!$C$10)</definedName>
    <definedName name="co">_xlfn.LAMBDA(_xlpm.x,_xlfn.LET(_xlpm.x_,_xlfn.DROP(_xlpm.x,-1),_xlfn.VSTACK(_xlpm.x_, -SUM(_xlpm.x_))))</definedName>
    <definedName name="dt">Simulation!$C$6</definedName>
    <definedName name="error">Simulation!$G$6</definedName>
    <definedName name="f">Simulation!$C$3</definedName>
    <definedName name="hedge">Simulation!$G$5</definedName>
    <definedName name="k">Simulation!$C$7</definedName>
    <definedName name="last">Simulation!$G$3</definedName>
    <definedName name="M">_xlfn.ANCHORARRAY(Simulation!$F$10)</definedName>
    <definedName name="mu">Simulation!$C$2</definedName>
    <definedName name="N">_xlfn.ANCHORARRAY(Simulation!$G$10)</definedName>
    <definedName name="payoff">Simulation!$G$4</definedName>
    <definedName name="put">Simulation!$G$2</definedName>
    <definedName name="R_">_xlfn.ANCHORARRAY(Simulation!$D$10)</definedName>
    <definedName name="S_">_xlfn.ANCHORARRAY(Simulation!$E$10)</definedName>
    <definedName name="sigma">Simulation!$C$4</definedName>
    <definedName name="t">Simulation!$C$5</definedName>
    <definedName name="t_">_xlfn.ANCHORARRAY(Simulation!$B$10)</definedName>
    <definedName name="V">_xlfn.ANCHORARRAY(Simulation!$J$10)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4" l="1" a="1"/>
  <c r="P3" i="4" s="1"/>
  <c r="O3" i="4" a="1"/>
  <c r="O3" i="4" s="1"/>
  <c r="C6" i="4"/>
  <c r="H4" i="1"/>
  <c r="F5" i="1"/>
  <c r="D5" i="1"/>
  <c r="D4" i="1"/>
  <c r="B10" i="4" a="1"/>
  <c r="K2" i="4" a="1"/>
  <c r="J2" i="4" a="1"/>
  <c r="G2" i="4" a="1"/>
  <c r="I2" i="4" a="1"/>
  <c r="N21" i="4" l="1"/>
  <c r="P20" i="4"/>
  <c r="K2" i="4"/>
  <c r="J2" i="4"/>
  <c r="I2" i="4"/>
  <c r="G2" i="4"/>
  <c r="B10" i="4"/>
  <c r="R10" i="4" s="1" a="1"/>
  <c r="R10" i="4" s="1"/>
  <c r="K5" i="1"/>
  <c r="E4" i="1"/>
  <c r="C10" i="4" a="1"/>
  <c r="C10" i="4" l="1"/>
  <c r="L2" i="4"/>
  <c r="M2" i="4" s="1"/>
  <c r="G4" i="1"/>
  <c r="E5" i="1"/>
  <c r="J5" i="1" s="1"/>
  <c r="L5" i="1" s="1"/>
  <c r="J4" i="1"/>
  <c r="M20" i="4" a="1"/>
  <c r="M21" i="4" l="1"/>
  <c r="M20" i="4"/>
  <c r="E10" i="4" a="1"/>
  <c r="D10" i="4" a="1"/>
  <c r="D10" i="4" s="1"/>
  <c r="G5" i="1" a="1"/>
  <c r="G5" i="1" s="1"/>
  <c r="I5" i="1" s="1"/>
  <c r="I4" i="1"/>
  <c r="L58" i="4" a="1"/>
  <c r="L21" i="4" a="1"/>
  <c r="L67" i="4" a="1"/>
  <c r="L60" i="4" a="1"/>
  <c r="L53" i="4" a="1"/>
  <c r="L52" i="4" a="1"/>
  <c r="L68" i="4" a="1"/>
  <c r="L55" i="4" a="1"/>
  <c r="L48" i="4" a="1"/>
  <c r="L50" i="4" a="1"/>
  <c r="L23" i="4" a="1"/>
  <c r="L57" i="4" a="1"/>
  <c r="L31" i="4" a="1"/>
  <c r="L17" i="4" a="1"/>
  <c r="L51" i="4" a="1"/>
  <c r="L18" i="4" a="1"/>
  <c r="L40" i="4" a="1"/>
  <c r="L32" i="4" a="1"/>
  <c r="L12" i="4" a="1"/>
  <c r="L34" i="4" a="1"/>
  <c r="L26" i="4" a="1"/>
  <c r="L71" i="4" a="1"/>
  <c r="L33" i="4" a="1"/>
  <c r="L72" i="4" a="1"/>
  <c r="L28" i="4" a="1"/>
  <c r="L14" i="4" a="1"/>
  <c r="L59" i="4" a="1"/>
  <c r="L22" i="4" a="1"/>
  <c r="L15" i="4" a="1"/>
  <c r="L61" i="4" a="1"/>
  <c r="L54" i="4" a="1"/>
  <c r="L47" i="4" a="1"/>
  <c r="L41" i="4" a="1"/>
  <c r="L16" i="4" a="1"/>
  <c r="L62" i="4" a="1"/>
  <c r="L49" i="4" a="1"/>
  <c r="L42" i="4" a="1"/>
  <c r="L35" i="4" a="1"/>
  <c r="L69" i="4" a="1"/>
  <c r="L56" i="4" a="1"/>
  <c r="L43" i="4" a="1"/>
  <c r="L36" i="4" a="1"/>
  <c r="L29" i="4" a="1"/>
  <c r="L63" i="4" a="1"/>
  <c r="L37" i="4" a="1"/>
  <c r="L30" i="4" a="1"/>
  <c r="L46" i="4" a="1"/>
  <c r="L44" i="4" a="1"/>
  <c r="L24" i="4" a="1"/>
  <c r="L70" i="4" a="1"/>
  <c r="L38" i="4" a="1"/>
  <c r="L25" i="4" a="1"/>
  <c r="L11" i="4" a="1"/>
  <c r="L45" i="4" a="1"/>
  <c r="L19" i="4" a="1"/>
  <c r="O20" i="4" a="1"/>
  <c r="L39" i="4" a="1"/>
  <c r="L13" i="4" a="1"/>
  <c r="L64" i="4" a="1"/>
  <c r="L20" i="4" a="1"/>
  <c r="L65" i="4" a="1"/>
  <c r="L27" i="4" a="1"/>
  <c r="L66" i="4" a="1"/>
  <c r="L11" i="4" l="1"/>
  <c r="L17" i="4"/>
  <c r="L23" i="4"/>
  <c r="L29" i="4"/>
  <c r="L35" i="4"/>
  <c r="L41" i="4"/>
  <c r="L47" i="4"/>
  <c r="L53" i="4"/>
  <c r="L59" i="4"/>
  <c r="L65" i="4"/>
  <c r="L71" i="4"/>
  <c r="L12" i="4"/>
  <c r="L18" i="4"/>
  <c r="L24" i="4"/>
  <c r="L30" i="4"/>
  <c r="L36" i="4"/>
  <c r="L42" i="4"/>
  <c r="L48" i="4"/>
  <c r="L54" i="4"/>
  <c r="L60" i="4"/>
  <c r="L66" i="4"/>
  <c r="L72" i="4"/>
  <c r="L13" i="4"/>
  <c r="L19" i="4"/>
  <c r="L25" i="4"/>
  <c r="L31" i="4"/>
  <c r="L37" i="4"/>
  <c r="L43" i="4"/>
  <c r="L49" i="4"/>
  <c r="L55" i="4"/>
  <c r="L61" i="4"/>
  <c r="L67" i="4"/>
  <c r="L14" i="4"/>
  <c r="L20" i="4"/>
  <c r="L26" i="4"/>
  <c r="L32" i="4"/>
  <c r="L38" i="4"/>
  <c r="L44" i="4"/>
  <c r="L50" i="4"/>
  <c r="L56" i="4"/>
  <c r="L62" i="4"/>
  <c r="L68" i="4"/>
  <c r="L15" i="4"/>
  <c r="L21" i="4"/>
  <c r="L27" i="4"/>
  <c r="L33" i="4"/>
  <c r="L39" i="4"/>
  <c r="L45" i="4"/>
  <c r="L51" i="4"/>
  <c r="L57" i="4"/>
  <c r="L63" i="4"/>
  <c r="L69" i="4"/>
  <c r="L16" i="4"/>
  <c r="L52" i="4"/>
  <c r="L22" i="4"/>
  <c r="L58" i="4"/>
  <c r="L28" i="4"/>
  <c r="L64" i="4"/>
  <c r="L34" i="4"/>
  <c r="L40" i="4"/>
  <c r="L70" i="4"/>
  <c r="L46" i="4"/>
  <c r="O20" i="4"/>
  <c r="O21" i="4"/>
  <c r="E10" i="4"/>
  <c r="I10" i="4" a="1"/>
  <c r="L10" i="4" a="1"/>
  <c r="I10" i="4" l="1"/>
  <c r="G10" i="4" s="1" a="1"/>
  <c r="G10" i="4" s="1"/>
  <c r="L10" i="4"/>
  <c r="G3" i="4" a="1"/>
  <c r="G3" i="4" s="1"/>
  <c r="G4" i="4" s="1"/>
  <c r="H4" i="4" a="1"/>
  <c r="M11" i="4" l="1"/>
  <c r="F10" i="4" a="1"/>
  <c r="M10" i="4"/>
  <c r="S10" i="4" a="1"/>
  <c r="S10" i="4" s="1"/>
  <c r="T10" i="4" s="1"/>
  <c r="H4" i="4"/>
  <c r="I4" i="4"/>
  <c r="F10" i="4" l="1"/>
  <c r="K10" i="4" s="1" a="1"/>
  <c r="K10" i="4" s="1"/>
  <c r="G5" i="4" s="1" a="1"/>
  <c r="G5" i="4" s="1"/>
  <c r="G6" i="4" s="1"/>
  <c r="N11" i="4"/>
  <c r="H6" i="4" a="1"/>
  <c r="H6" i="4" l="1"/>
  <c r="I6" i="4"/>
  <c r="J6" i="4" s="1"/>
  <c r="N10" i="4"/>
  <c r="H10" i="4" a="1"/>
  <c r="H10" i="4" s="1"/>
  <c r="J10" i="4" s="1" a="1"/>
  <c r="J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11EC72C2-EA02-4BCF-BE17-CDD3CFEC86F9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<sst xmlns="http://schemas.openxmlformats.org/spreadsheetml/2006/main" count="40" uniqueCount="30">
  <si>
    <t>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</si>
  <si>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</si>
  <si>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</si>
  <si>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</si>
  <si>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</si>
  <si>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</si>
  <si>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</si>
  <si>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</si>
  <si>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</si>
  <si>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</si>
  <si>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Γ</t>
  </si>
  <si>
    <t>(Δ+Γ).X</t>
  </si>
  <si>
    <t>-Γ.X</t>
  </si>
  <si>
    <t>Δ+Γ</t>
  </si>
  <si>
    <t>sigma</t>
  </si>
  <si>
    <t>mu</t>
  </si>
  <si>
    <t>f</t>
  </si>
  <si>
    <t>k</t>
  </si>
  <si>
    <t>R_</t>
  </si>
  <si>
    <t>S_</t>
  </si>
  <si>
    <t>put</t>
  </si>
  <si>
    <t>dt</t>
  </si>
  <si>
    <t>t_</t>
  </si>
  <si>
    <t>B_</t>
  </si>
  <si>
    <t>payoff</t>
  </si>
  <si>
    <t>hedge</t>
  </si>
  <si>
    <t>_M</t>
  </si>
  <si>
    <t>_N</t>
  </si>
  <si>
    <t>last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</si>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</sst>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0x&quot;#"/>
    <numFmt numFmtId="165" formatCode="0.0000"/>
    <numFmt numFmtId="166" formatCode="0.000"/>
    <numFmt numFmtId="171" formatCode="0.0%"/>
  </numFmts>
  <fonts count="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sz val="14"/>
      <color theme="0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  <font>
      <sz val="14"/>
      <color theme="0" tint="-0.34998626667073579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2" borderId="2" applyNumberFormat="0" applyAlignment="0" applyProtection="0"/>
    <xf numFmtId="164" fontId="3" fillId="0" borderId="0">
      <alignment horizontal="center" vertical="center"/>
    </xf>
    <xf numFmtId="9" fontId="6" fillId="0" borderId="0" applyFont="0" applyFill="0" applyBorder="0" applyAlignment="0" applyProtection="0"/>
    <xf numFmtId="0" fontId="7" fillId="3" borderId="3" applyNumberFormat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5" fillId="0" borderId="0" xfId="0" applyFont="1"/>
    <xf numFmtId="165" fontId="0" fillId="0" borderId="0" xfId="0" applyNumberFormat="1"/>
    <xf numFmtId="165" fontId="5" fillId="0" borderId="0" xfId="0" applyNumberFormat="1" applyFont="1"/>
    <xf numFmtId="0" fontId="5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0" fillId="0" borderId="0" xfId="0" applyNumberFormat="1"/>
    <xf numFmtId="2" fontId="0" fillId="0" borderId="0" xfId="0" applyNumberFormat="1"/>
    <xf numFmtId="165" fontId="7" fillId="3" borderId="3" xfId="4" applyNumberFormat="1"/>
    <xf numFmtId="171" fontId="0" fillId="0" borderId="0" xfId="3" applyNumberFormat="1" applyFont="1"/>
  </cellXfs>
  <cellStyles count="5">
    <cellStyle name="Check Cell" xfId="1" builtinId="23"/>
    <cellStyle name="Handle" xfId="2" xr:uid="{FF7A162F-DF08-42FE-AEB2-120BB5405C33}"/>
    <cellStyle name="Normal" xfId="0" builtinId="0"/>
    <cellStyle name="Output" xfId="4" builtinId="21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DB-807E-4762-83AC-A616811C3245}">
  <dimension ref="B2:L6"/>
  <sheetViews>
    <sheetView workbookViewId="0">
      <selection activeCell="B2" sqref="B2:J3"/>
    </sheetView>
  </sheetViews>
  <sheetFormatPr defaultRowHeight="18" x14ac:dyDescent="0.55000000000000004"/>
  <cols>
    <col min="1" max="1" width="3.578125" customWidth="1"/>
  </cols>
  <sheetData>
    <row r="2" spans="2:12" x14ac:dyDescent="0.55000000000000004">
      <c r="C2" s="11" t="s">
        <v>0</v>
      </c>
      <c r="D2" s="11"/>
      <c r="E2" s="12" t="s">
        <v>10</v>
      </c>
      <c r="F2" s="12"/>
      <c r="G2" s="12" t="s">
        <v>13</v>
      </c>
      <c r="H2" s="12"/>
      <c r="I2" s="1" t="s">
        <v>11</v>
      </c>
      <c r="J2" s="3" t="s">
        <v>12</v>
      </c>
    </row>
    <row r="3" spans="2:12" x14ac:dyDescent="0.55000000000000004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2:12" ht="18.399999999999999" thickBot="1" x14ac:dyDescent="0.6">
      <c r="B4">
        <v>0</v>
      </c>
      <c r="C4">
        <v>1</v>
      </c>
      <c r="D4">
        <f ca="1">RAND()</f>
        <v>0.91891140535953986</v>
      </c>
      <c r="E4">
        <f ca="1">-F4*D4</f>
        <v>-2.7567342160786197</v>
      </c>
      <c r="F4">
        <v>3</v>
      </c>
      <c r="G4">
        <f ca="1">E4</f>
        <v>-2.7567342160786197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8.75" thickTop="1" thickBot="1" x14ac:dyDescent="0.6">
      <c r="B5">
        <v>1</v>
      </c>
      <c r="C5">
        <v>1</v>
      </c>
      <c r="D5">
        <f ca="1">RAND()</f>
        <v>0.14026065584147873</v>
      </c>
      <c r="E5">
        <f ca="1">-E4</f>
        <v>2.7567342160786197</v>
      </c>
      <c r="F5">
        <f>-F4</f>
        <v>-3</v>
      </c>
      <c r="G5" cm="1">
        <f t="array" aca="1" ref="G5:H5" ca="1">G4:H4+E5:F5</f>
        <v>0</v>
      </c>
      <c r="H5">
        <f ca="1"/>
        <v>0</v>
      </c>
      <c r="I5">
        <f ca="1">SUMPRODUCT(G5:H5,C5:D5)</f>
        <v>0</v>
      </c>
      <c r="J5">
        <f ca="1">-SUMPRODUCT(E5:F5,C5:D5)</f>
        <v>-2.3359522485541833</v>
      </c>
      <c r="K5">
        <f ca="1">F4*(D5-D4)</f>
        <v>-2.3359522485541833</v>
      </c>
      <c r="L5" s="6">
        <f ca="1">J5-K5</f>
        <v>0</v>
      </c>
    </row>
    <row r="6" spans="2:12" ht="18.399999999999999" thickTop="1" x14ac:dyDescent="0.55000000000000004"/>
  </sheetData>
  <mergeCells count="3">
    <mergeCell ref="C2:D2"/>
    <mergeCell ref="E2:F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2DD-292F-41DF-A786-89DEB5029ACA}">
  <dimension ref="B2:T208"/>
  <sheetViews>
    <sheetView tabSelected="1" workbookViewId="0">
      <selection activeCell="I10" sqref="I10"/>
    </sheetView>
  </sheetViews>
  <sheetFormatPr defaultRowHeight="18" x14ac:dyDescent="0.55000000000000004"/>
  <cols>
    <col min="1" max="1" width="3.578125" customWidth="1"/>
    <col min="7" max="7" width="11.68359375" bestFit="1" customWidth="1"/>
    <col min="10" max="10" width="10.20703125" bestFit="1" customWidth="1"/>
    <col min="13" max="13" width="11.68359375" bestFit="1" customWidth="1"/>
  </cols>
  <sheetData>
    <row r="2" spans="2:20" x14ac:dyDescent="0.55000000000000004">
      <c r="B2" s="4" t="s">
        <v>15</v>
      </c>
      <c r="C2">
        <v>0</v>
      </c>
      <c r="F2" s="4" t="s">
        <v>20</v>
      </c>
      <c r="G2" s="8" cm="1">
        <f t="array" ref="G2">_xll.OPTION.BLACK.PUT(f, sigma*SQRT(t), k)</f>
        <v>3.9877746125013118</v>
      </c>
      <c r="I2" s="9" cm="1">
        <f t="array" ref="I2">_xll.OPTION.BLACK.PUT_DELTA(f, sigma*SQRT(t), k)</f>
        <v>-0.48006112693749348</v>
      </c>
      <c r="J2" s="9" cm="1">
        <f t="array" ref="J2">_xll.OPTION.BLACK.PUT(f+0.01, sigma*SQRT(t), k)</f>
        <v>3.9829759903713082</v>
      </c>
      <c r="K2" s="9" cm="1">
        <f t="array" ref="K2">_xll.OPTION.BLACK.PUT(f-0.01, sigma*SQRT(t), k)</f>
        <v>3.992577213108973</v>
      </c>
      <c r="L2" s="9">
        <f>(J2-K2)/0.02</f>
        <v>-0.48006113688323637</v>
      </c>
      <c r="M2" s="10">
        <f>I2-L2</f>
        <v>9.945742895922649E-9</v>
      </c>
    </row>
    <row r="3" spans="2:20" x14ac:dyDescent="0.55000000000000004">
      <c r="B3" s="4" t="s">
        <v>16</v>
      </c>
      <c r="C3">
        <v>100</v>
      </c>
      <c r="F3" s="4" t="s">
        <v>28</v>
      </c>
      <c r="G3" s="8" cm="1">
        <f t="array" aca="1" ref="G3" ca="1">_xlfn.TAKE(S_,-1)</f>
        <v>93.888655344260698</v>
      </c>
      <c r="N3" s="7">
        <v>1</v>
      </c>
      <c r="O3" s="7" cm="1">
        <f t="array" ref="O3:O5">ad(N3:N5)</f>
        <v>1</v>
      </c>
      <c r="P3" s="7" cm="1">
        <f t="array" ref="P3:P5">_xlfn.SCAN(0,_xlfn.ANCHORARRAY(O3),_xlfn.LAMBDA(_xlpm.a,_xlpm.b,_xlpm.a+_xlpm.b))</f>
        <v>1</v>
      </c>
    </row>
    <row r="4" spans="2:20" x14ac:dyDescent="0.55000000000000004">
      <c r="B4" s="4" t="s">
        <v>14</v>
      </c>
      <c r="C4">
        <v>0.2</v>
      </c>
      <c r="F4" s="4" t="s">
        <v>24</v>
      </c>
      <c r="G4" s="15">
        <f ca="1">MAX(k - last,0)</f>
        <v>6.1113446557393019</v>
      </c>
      <c r="H4" s="15">
        <f t="array" aca="1" ref="H4:I4" ca="1">_xll.MONTE.STDEV(G4)</f>
        <v>3.9272353232321642</v>
      </c>
      <c r="I4" s="15">
        <f ca="1"/>
        <v>5.4255312888094851</v>
      </c>
      <c r="N4" s="7">
        <v>2</v>
      </c>
      <c r="O4" s="7">
        <v>1</v>
      </c>
      <c r="P4" s="7">
        <v>2</v>
      </c>
    </row>
    <row r="5" spans="2:20" x14ac:dyDescent="0.55000000000000004">
      <c r="B5" s="4" t="s">
        <v>1</v>
      </c>
      <c r="C5">
        <v>0.25</v>
      </c>
      <c r="F5" s="4" t="s">
        <v>25</v>
      </c>
      <c r="G5" s="15" cm="1">
        <f t="array" aca="1" ref="G5" ca="1">_xlfn.TAKE(A,-1)</f>
        <v>6.1874464131764597</v>
      </c>
      <c r="H5" s="15"/>
      <c r="I5" s="15"/>
      <c r="N5" s="7">
        <v>3</v>
      </c>
      <c r="O5" s="7">
        <v>1</v>
      </c>
      <c r="P5" s="7">
        <v>3</v>
      </c>
    </row>
    <row r="6" spans="2:20" x14ac:dyDescent="0.55000000000000004">
      <c r="B6" s="4" t="s">
        <v>21</v>
      </c>
      <c r="C6">
        <f>1/250</f>
        <v>4.0000000000000001E-3</v>
      </c>
      <c r="F6" s="4" t="s">
        <v>29</v>
      </c>
      <c r="G6" s="15">
        <f ca="1">payoff-hedge</f>
        <v>-7.6101757437157858E-2</v>
      </c>
      <c r="H6" s="8">
        <f t="array" aca="1" ref="H6:I6" ca="1">_xll.MONTE.STDEV(error)</f>
        <v>-2.5378436897320045E-2</v>
      </c>
      <c r="I6" s="17">
        <f ca="1"/>
        <v>0.43393156078143258</v>
      </c>
      <c r="J6" s="18">
        <f ca="1">I6/put</f>
        <v>0.10881546801092933</v>
      </c>
    </row>
    <row r="7" spans="2:20" x14ac:dyDescent="0.55000000000000004">
      <c r="B7" s="4" t="s">
        <v>17</v>
      </c>
      <c r="C7">
        <v>100</v>
      </c>
    </row>
    <row r="8" spans="2:20" x14ac:dyDescent="0.55000000000000004">
      <c r="D8" s="13" t="s">
        <v>0</v>
      </c>
      <c r="E8" s="13"/>
      <c r="F8" s="14" t="s">
        <v>10</v>
      </c>
      <c r="G8" s="14"/>
      <c r="H8" s="14" t="s">
        <v>13</v>
      </c>
      <c r="I8" s="14"/>
      <c r="J8" s="2" t="s">
        <v>11</v>
      </c>
      <c r="K8" s="3" t="s">
        <v>12</v>
      </c>
    </row>
    <row r="9" spans="2:20" x14ac:dyDescent="0.55000000000000004">
      <c r="B9" s="5" t="s">
        <v>22</v>
      </c>
      <c r="C9" s="5" t="s">
        <v>23</v>
      </c>
      <c r="D9" s="5" t="s">
        <v>18</v>
      </c>
      <c r="E9" s="5" t="s">
        <v>19</v>
      </c>
      <c r="F9" s="5" t="s">
        <v>4</v>
      </c>
      <c r="G9" s="5" t="s">
        <v>5</v>
      </c>
      <c r="H9" s="5" t="s">
        <v>26</v>
      </c>
      <c r="I9" s="5" t="s">
        <v>27</v>
      </c>
      <c r="J9" s="5" t="s">
        <v>8</v>
      </c>
      <c r="K9" s="5" t="s">
        <v>9</v>
      </c>
    </row>
    <row r="10" spans="2:20" x14ac:dyDescent="0.55000000000000004">
      <c r="B10" cm="1">
        <f t="array" ref="B10:B72">_xll.ARRAY.SEQUENCE(0, t, dt)</f>
        <v>0</v>
      </c>
      <c r="C10" cm="1">
        <f t="array" aca="1" ref="C10:C72" ca="1">_xll.RANDOM.BROWNIAN(t_)</f>
        <v>0</v>
      </c>
      <c r="D10" cm="1">
        <f t="array" aca="1" ref="D10:D72" ca="1">1+0*B_</f>
        <v>1</v>
      </c>
      <c r="E10" cm="1">
        <f t="array" aca="1" ref="E10:E72" ca="1">f*EXP(sigma*B_+(mu-sigma*sigma/2)*t_)</f>
        <v>100</v>
      </c>
      <c r="F10" s="15" cm="1">
        <f t="array" aca="1" ref="F10:F72" ca="1">co(put*(t_ = 0) - N*S_/R_)</f>
        <v>51.993894028664066</v>
      </c>
      <c r="G10" s="8" cm="1">
        <f t="array" aca="1" ref="G10:G72" ca="1">co(ad(_N))</f>
        <v>-0.48006119416162751</v>
      </c>
      <c r="H10" s="15" cm="1">
        <f t="array" aca="1" ref="H10:H72" ca="1">_xlfn.SCAN(0,M,_xlfn.LAMBDA(_xlpm.a,_xlpm.b,_xlpm.a+_xlpm.b))</f>
        <v>51.993894028664066</v>
      </c>
      <c r="I10" s="8" cm="1">
        <f t="array" aca="1" ref="I10:I72" ca="1">co(_xlfn.MAP(t_,S_,_xlfn.LAMBDA(_xlpm._t,_xlpm._s,_xll.OPTION.BLACK.PUT_DELTA(_xlpm._s,sigma*SQRT(t - _xlpm._t),k))))</f>
        <v>-0.48006119416162751</v>
      </c>
      <c r="J10" s="8" cm="1">
        <f t="array" aca="1" ref="J10:J72" ca="1">_M * R_ + _N * S_</f>
        <v>3.9877746125013118</v>
      </c>
      <c r="K10" cm="1">
        <f t="array" aca="1" ref="K10:K72" ca="1">-M * R_ - N * S_</f>
        <v>-3.9877746125013118</v>
      </c>
      <c r="L10" cm="1">
        <f t="array" aca="1" ref="L10" ca="1">_xll.OPTION.BLACK.PUT_DELTA(E10, sigma*SQRT(t-B10), k)</f>
        <v>-0.48006119416162751</v>
      </c>
      <c r="M10" s="7">
        <f ca="1">put - G10*E10</f>
        <v>51.993894028664066</v>
      </c>
      <c r="N10" s="7">
        <f ca="1">F10-M10</f>
        <v>0</v>
      </c>
      <c r="R10" t="b" cm="1">
        <f t="array" ref="R10:R72">(t_= 0)</f>
        <v>1</v>
      </c>
      <c r="S10" cm="1">
        <f t="array" aca="1" ref="S10:S72" ca="1">-N*S_</f>
        <v>48.006119416162754</v>
      </c>
      <c r="T10">
        <f ca="1">put+S10</f>
        <v>51.993894028664066</v>
      </c>
    </row>
    <row r="11" spans="2:20" x14ac:dyDescent="0.55000000000000004">
      <c r="B11">
        <v>4.0000000000000001E-3</v>
      </c>
      <c r="C11">
        <f ca="1"/>
        <v>1.1398878466719491E-2</v>
      </c>
      <c r="D11">
        <f ca="1"/>
        <v>1</v>
      </c>
      <c r="E11" s="16">
        <f ca="1"/>
        <v>100.22021969749943</v>
      </c>
      <c r="F11" s="15">
        <f ca="1"/>
        <v>-0.8689511917074052</v>
      </c>
      <c r="G11" s="8">
        <f ca="1"/>
        <v>8.6704179488950595E-3</v>
      </c>
      <c r="H11" s="15">
        <f ca="1"/>
        <v>51.124942836956663</v>
      </c>
      <c r="I11" s="8">
        <f ca="1"/>
        <v>-0.47139077621273245</v>
      </c>
      <c r="J11" s="8">
        <f ca="1"/>
        <v>3.8820556815418286</v>
      </c>
      <c r="K11">
        <f ca="1"/>
        <v>0</v>
      </c>
      <c r="L11" cm="1">
        <f t="array" aca="1" ref="L11" ca="1">_xll.OPTION.BLACK.PUT_DELTA(E11, sigma*SQRT(t-B11), k)</f>
        <v>-0.47139077621273245</v>
      </c>
      <c r="M11" s="7">
        <f ca="1" xml:space="preserve"> - G11*E11</f>
        <v>-0.8689511917074052</v>
      </c>
      <c r="N11" s="7">
        <f ca="1">F11-M11</f>
        <v>0</v>
      </c>
      <c r="R11" t="b">
        <v>0</v>
      </c>
      <c r="S11">
        <f ca="1"/>
        <v>-0.8689511917074052</v>
      </c>
    </row>
    <row r="12" spans="2:20" x14ac:dyDescent="0.55000000000000004">
      <c r="B12">
        <v>8.0000000000000002E-3</v>
      </c>
      <c r="C12">
        <f ca="1"/>
        <v>4.3631758203000588E-2</v>
      </c>
      <c r="D12">
        <f ca="1"/>
        <v>1</v>
      </c>
      <c r="E12" s="16">
        <f ca="1"/>
        <v>100.86031478254533</v>
      </c>
      <c r="F12" s="15">
        <f ca="1"/>
        <v>-2.5803565847928356</v>
      </c>
      <c r="G12" s="8">
        <f ca="1"/>
        <v>2.5583467495179646E-2</v>
      </c>
      <c r="H12" s="15">
        <f ca="1"/>
        <v>48.544586252163825</v>
      </c>
      <c r="I12" s="8">
        <f ca="1"/>
        <v>-0.44580730871755281</v>
      </c>
      <c r="J12" s="8">
        <f ca="1"/>
        <v>3.5803207625520841</v>
      </c>
      <c r="K12">
        <f ca="1"/>
        <v>0</v>
      </c>
      <c r="L12" cm="1">
        <f t="array" aca="1" ref="L12" ca="1">_xll.OPTION.BLACK.PUT_DELTA(E12, sigma*SQRT(t-B12), k)</f>
        <v>-0.44580730871755281</v>
      </c>
      <c r="R12" t="b">
        <v>0</v>
      </c>
      <c r="S12">
        <f ca="1"/>
        <v>-2.5803565847928356</v>
      </c>
    </row>
    <row r="13" spans="2:20" x14ac:dyDescent="0.55000000000000004">
      <c r="B13">
        <v>1.2E-2</v>
      </c>
      <c r="C13">
        <f ca="1"/>
        <v>0.14939548932949673</v>
      </c>
      <c r="D13">
        <f ca="1"/>
        <v>1</v>
      </c>
      <c r="E13" s="16">
        <f ca="1"/>
        <v>103.00827078135791</v>
      </c>
      <c r="F13" s="15">
        <f ca="1"/>
        <v>-8.6111604679720806</v>
      </c>
      <c r="G13" s="8">
        <f ca="1"/>
        <v>8.359678696334838E-2</v>
      </c>
      <c r="H13" s="15">
        <f ca="1"/>
        <v>39.933425784191741</v>
      </c>
      <c r="I13" s="8">
        <f ca="1"/>
        <v>-0.36221052175420443</v>
      </c>
      <c r="J13" s="8">
        <f ca="1"/>
        <v>2.6227462794777239</v>
      </c>
      <c r="K13">
        <f ca="1"/>
        <v>0</v>
      </c>
      <c r="L13" cm="1">
        <f t="array" aca="1" ref="L13" ca="1">_xll.OPTION.BLACK.PUT_DELTA(E13, sigma*SQRT(t-B13), k)</f>
        <v>-0.36221052175420443</v>
      </c>
      <c r="R13" t="b">
        <v>0</v>
      </c>
      <c r="S13">
        <f ca="1"/>
        <v>-8.6111604679720806</v>
      </c>
    </row>
    <row r="14" spans="2:20" x14ac:dyDescent="0.55000000000000004">
      <c r="B14">
        <v>1.6E-2</v>
      </c>
      <c r="C14">
        <f ca="1"/>
        <v>0.14583674894760668</v>
      </c>
      <c r="D14">
        <f ca="1"/>
        <v>1</v>
      </c>
      <c r="E14" s="16">
        <f ca="1"/>
        <v>102.92674645873727</v>
      </c>
      <c r="F14" s="15">
        <f ca="1"/>
        <v>0.23215799355758079</v>
      </c>
      <c r="G14" s="8">
        <f ca="1"/>
        <v>-2.2555652592268771E-3</v>
      </c>
      <c r="H14" s="15">
        <f ca="1"/>
        <v>40.165583777749319</v>
      </c>
      <c r="I14" s="8">
        <f ca="1"/>
        <v>-0.36446608701343131</v>
      </c>
      <c r="J14" s="8">
        <f ca="1"/>
        <v>2.6522752469097952</v>
      </c>
      <c r="K14">
        <f ca="1"/>
        <v>0</v>
      </c>
      <c r="L14" cm="1">
        <f t="array" aca="1" ref="L14" ca="1">_xll.OPTION.BLACK.PUT_DELTA(E14, sigma*SQRT(t-B14), k)</f>
        <v>-0.36446608701343131</v>
      </c>
      <c r="R14" t="b">
        <v>0</v>
      </c>
      <c r="S14">
        <f ca="1"/>
        <v>0.23215799355758079</v>
      </c>
    </row>
    <row r="15" spans="2:20" x14ac:dyDescent="0.55000000000000004">
      <c r="B15">
        <v>0.02</v>
      </c>
      <c r="C15">
        <f ca="1"/>
        <v>0.18741684835802025</v>
      </c>
      <c r="D15">
        <f ca="1"/>
        <v>1</v>
      </c>
      <c r="E15" s="16">
        <f ca="1"/>
        <v>103.77795365708742</v>
      </c>
      <c r="F15" s="15">
        <f ca="1"/>
        <v>-3.3761177151817305</v>
      </c>
      <c r="G15" s="8">
        <f ca="1"/>
        <v>3.2532128416574935E-2</v>
      </c>
      <c r="H15" s="15">
        <f ca="1"/>
        <v>36.789466062567591</v>
      </c>
      <c r="I15" s="8">
        <f ca="1"/>
        <v>-0.33193395859685637</v>
      </c>
      <c r="J15" s="8">
        <f ca="1"/>
        <v>2.3420390900894574</v>
      </c>
      <c r="K15">
        <f ca="1"/>
        <v>0</v>
      </c>
      <c r="L15" cm="1">
        <f t="array" aca="1" ref="L15" ca="1">_xll.OPTION.BLACK.PUT_DELTA(E15, sigma*SQRT(t-B15), k)</f>
        <v>-0.33193395859685637</v>
      </c>
      <c r="R15" t="b">
        <v>0</v>
      </c>
      <c r="S15">
        <f ca="1"/>
        <v>-3.3761177151817305</v>
      </c>
    </row>
    <row r="16" spans="2:20" x14ac:dyDescent="0.55000000000000004">
      <c r="B16">
        <v>2.4E-2</v>
      </c>
      <c r="C16">
        <f ca="1"/>
        <v>0.16633156187663728</v>
      </c>
      <c r="D16">
        <f ca="1"/>
        <v>1</v>
      </c>
      <c r="E16" s="16">
        <f ca="1"/>
        <v>103.33297058771147</v>
      </c>
      <c r="F16" s="15">
        <f ca="1"/>
        <v>1.5972894521723409</v>
      </c>
      <c r="G16" s="8">
        <f ca="1"/>
        <v>-1.5457694123063304E-2</v>
      </c>
      <c r="H16" s="15">
        <f ca="1"/>
        <v>38.386755514739932</v>
      </c>
      <c r="I16" s="8">
        <f ca="1"/>
        <v>-0.34739165271991967</v>
      </c>
      <c r="J16" s="8">
        <f ca="1"/>
        <v>2.4897440818159922</v>
      </c>
      <c r="K16">
        <f ca="1"/>
        <v>0</v>
      </c>
      <c r="L16" cm="1">
        <f t="array" aca="1" ref="L16" ca="1">_xll.OPTION.BLACK.PUT_DELTA(E16, sigma*SQRT(t-B16), k)</f>
        <v>-0.34739165271991967</v>
      </c>
      <c r="R16" t="b">
        <v>0</v>
      </c>
      <c r="S16">
        <f ca="1"/>
        <v>1.5972894521723409</v>
      </c>
    </row>
    <row r="17" spans="2:19" x14ac:dyDescent="0.55000000000000004">
      <c r="B17">
        <v>2.8000000000000001E-2</v>
      </c>
      <c r="C17">
        <f ca="1"/>
        <v>0.15971138949568769</v>
      </c>
      <c r="D17">
        <f ca="1"/>
        <v>1</v>
      </c>
      <c r="E17" s="16">
        <f ca="1"/>
        <v>103.18798933763291</v>
      </c>
      <c r="F17" s="15">
        <f ca="1"/>
        <v>0.46724273629344759</v>
      </c>
      <c r="G17" s="8">
        <f ca="1"/>
        <v>-4.5280728822481575E-3</v>
      </c>
      <c r="H17" s="15">
        <f ca="1"/>
        <v>38.853998251033381</v>
      </c>
      <c r="I17" s="8">
        <f ca="1"/>
        <v>-0.35191972560216783</v>
      </c>
      <c r="J17" s="8">
        <f ca="1"/>
        <v>2.5401093578941882</v>
      </c>
      <c r="K17">
        <f ca="1"/>
        <v>0</v>
      </c>
      <c r="L17" cm="1">
        <f t="array" aca="1" ref="L17" ca="1">_xll.OPTION.BLACK.PUT_DELTA(E17, sigma*SQRT(t-B17), k)</f>
        <v>-0.35191972560216783</v>
      </c>
      <c r="R17" t="b">
        <v>0</v>
      </c>
      <c r="S17">
        <f ca="1"/>
        <v>0.46724273629344759</v>
      </c>
    </row>
    <row r="18" spans="2:19" x14ac:dyDescent="0.55000000000000004">
      <c r="B18">
        <v>3.2000000000000001E-2</v>
      </c>
      <c r="C18">
        <f ca="1"/>
        <v>0.10724619923463499</v>
      </c>
      <c r="D18">
        <f ca="1"/>
        <v>1</v>
      </c>
      <c r="E18" s="16">
        <f ca="1"/>
        <v>102.10272617423027</v>
      </c>
      <c r="F18" s="15">
        <f ca="1"/>
        <v>4.2719853195242985</v>
      </c>
      <c r="G18" s="8">
        <f ca="1"/>
        <v>-4.1840071069547069E-2</v>
      </c>
      <c r="H18" s="15">
        <f ca="1"/>
        <v>43.125983570557679</v>
      </c>
      <c r="I18" s="8">
        <f ca="1"/>
        <v>-0.3937597966717149</v>
      </c>
      <c r="J18" s="8">
        <f ca="1"/>
        <v>2.9220348725649856</v>
      </c>
      <c r="K18">
        <f ca="1"/>
        <v>0</v>
      </c>
      <c r="L18" cm="1">
        <f t="array" aca="1" ref="L18" ca="1">_xll.OPTION.BLACK.PUT_DELTA(E18, sigma*SQRT(t-B18), k)</f>
        <v>-0.3937597966717149</v>
      </c>
      <c r="R18" t="b">
        <v>0</v>
      </c>
      <c r="S18">
        <f ca="1"/>
        <v>4.2719853195242985</v>
      </c>
    </row>
    <row r="19" spans="2:19" x14ac:dyDescent="0.55000000000000004">
      <c r="B19">
        <v>3.6000000000000004E-2</v>
      </c>
      <c r="C19">
        <f ca="1"/>
        <v>6.244583758655687E-2</v>
      </c>
      <c r="D19">
        <f ca="1"/>
        <v>1</v>
      </c>
      <c r="E19" s="16">
        <f ca="1"/>
        <v>101.18386966683491</v>
      </c>
      <c r="F19" s="15">
        <f ca="1"/>
        <v>3.7825141389967958</v>
      </c>
      <c r="G19" s="8">
        <f ca="1"/>
        <v>-3.7382580360400985E-2</v>
      </c>
      <c r="H19" s="15">
        <f ca="1"/>
        <v>46.908497709554474</v>
      </c>
      <c r="I19" s="8">
        <f ca="1"/>
        <v>-0.43114237703211589</v>
      </c>
      <c r="J19" s="8">
        <f ca="1"/>
        <v>3.2838436240874671</v>
      </c>
      <c r="K19">
        <f ca="1"/>
        <v>0</v>
      </c>
      <c r="L19" cm="1">
        <f t="array" aca="1" ref="L19" ca="1">_xll.OPTION.BLACK.PUT_DELTA(E19, sigma*SQRT(t-B19), k)</f>
        <v>-0.43114237703211589</v>
      </c>
      <c r="R19" t="b">
        <v>0</v>
      </c>
      <c r="S19">
        <f ca="1"/>
        <v>3.7825141389967958</v>
      </c>
    </row>
    <row r="20" spans="2:19" x14ac:dyDescent="0.55000000000000004">
      <c r="B20">
        <v>0.04</v>
      </c>
      <c r="C20">
        <f ca="1"/>
        <v>2.9907334150437767E-2</v>
      </c>
      <c r="D20">
        <f ca="1"/>
        <v>1</v>
      </c>
      <c r="E20" s="16">
        <f ca="1"/>
        <v>100.51949138443976</v>
      </c>
      <c r="F20" s="15">
        <f ca="1"/>
        <v>2.8238952491367981</v>
      </c>
      <c r="G20" s="8">
        <f ca="1"/>
        <v>-2.8093011715874361E-2</v>
      </c>
      <c r="H20" s="15">
        <f ca="1"/>
        <v>49.732392958691271</v>
      </c>
      <c r="I20" s="8">
        <f ca="1"/>
        <v>-0.45923538874799025</v>
      </c>
      <c r="J20" s="8">
        <f ca="1"/>
        <v>3.5702852560078213</v>
      </c>
      <c r="K20">
        <f ca="1"/>
        <v>0</v>
      </c>
      <c r="L20" cm="1">
        <f t="array" aca="1" ref="L20" ca="1">_xll.OPTION.BLACK.PUT_DELTA(E20, sigma*SQRT(t-B20), k)</f>
        <v>-0.45923538874799025</v>
      </c>
      <c r="M20" s="7">
        <f t="array" aca="1" ref="M20:M21" ca="1">_xll.MONTE.STDEV(C20)</f>
        <v>-1.27587785298553E-3</v>
      </c>
      <c r="N20" s="7">
        <v>0</v>
      </c>
      <c r="O20" s="7">
        <f t="array" aca="1" ref="O20:O21" ca="1">_xll.MONTE.STDEV(E20)</f>
        <v>99.97536212613484</v>
      </c>
      <c r="P20" s="7">
        <f>f*EXP(mu*B20)</f>
        <v>100</v>
      </c>
      <c r="R20" t="b">
        <v>0</v>
      </c>
      <c r="S20">
        <f ca="1"/>
        <v>2.8238952491367981</v>
      </c>
    </row>
    <row r="21" spans="2:19" x14ac:dyDescent="0.55000000000000004">
      <c r="B21">
        <v>4.3999999999999997E-2</v>
      </c>
      <c r="C21">
        <f ca="1"/>
        <v>-2.2458071227392892E-2</v>
      </c>
      <c r="D21">
        <f ca="1"/>
        <v>1</v>
      </c>
      <c r="E21" s="16">
        <f ca="1"/>
        <v>99.464278707666821</v>
      </c>
      <c r="F21" s="15">
        <f ca="1"/>
        <v>4.6017272147042378</v>
      </c>
      <c r="G21" s="8">
        <f ca="1"/>
        <v>-4.6265124268674074E-2</v>
      </c>
      <c r="H21" s="15">
        <f ca="1"/>
        <v>54.334120173395512</v>
      </c>
      <c r="I21" s="8">
        <f ca="1"/>
        <v>-0.50550051301666432</v>
      </c>
      <c r="J21" s="8">
        <f ca="1"/>
        <v>4.0548762598374495</v>
      </c>
      <c r="K21">
        <f ca="1"/>
        <v>0</v>
      </c>
      <c r="L21" cm="1">
        <f t="array" aca="1" ref="L21" ca="1">_xll.OPTION.BLACK.PUT_DELTA(E21, sigma*SQRT(t-B21), k)</f>
        <v>-0.50550051301666432</v>
      </c>
      <c r="M21" s="7">
        <f ca="1"/>
        <v>0.20108090286888269</v>
      </c>
      <c r="N21" s="7">
        <f>SQRT(B20)</f>
        <v>0.2</v>
      </c>
      <c r="O21" s="7">
        <f ca="1"/>
        <v>4.0233958217953116</v>
      </c>
      <c r="P21" s="7"/>
      <c r="R21" t="b">
        <v>0</v>
      </c>
      <c r="S21">
        <f ca="1"/>
        <v>4.6017272147042378</v>
      </c>
    </row>
    <row r="22" spans="2:19" x14ac:dyDescent="0.55000000000000004">
      <c r="B22">
        <v>4.8000000000000001E-2</v>
      </c>
      <c r="C22">
        <f ca="1"/>
        <v>-0.11752720746198123</v>
      </c>
      <c r="D22">
        <f ca="1"/>
        <v>1</v>
      </c>
      <c r="E22" s="16">
        <f ca="1"/>
        <v>97.583141161295913</v>
      </c>
      <c r="F22" s="15">
        <f ca="1"/>
        <v>8.2337783127404283</v>
      </c>
      <c r="G22" s="8">
        <f ca="1"/>
        <v>-8.4377057499417374E-2</v>
      </c>
      <c r="H22" s="15">
        <f ca="1"/>
        <v>62.567898486135938</v>
      </c>
      <c r="I22" s="8">
        <f ca="1"/>
        <v>-0.5898775705160817</v>
      </c>
      <c r="J22" s="8">
        <f ca="1"/>
        <v>5.0057922545828575</v>
      </c>
      <c r="K22">
        <f ca="1"/>
        <v>0</v>
      </c>
      <c r="L22" cm="1">
        <f t="array" aca="1" ref="L22" ca="1">_xll.OPTION.BLACK.PUT_DELTA(E22, sigma*SQRT(t-B22), k)</f>
        <v>-0.5898775705160817</v>
      </c>
      <c r="R22" t="b">
        <v>0</v>
      </c>
      <c r="S22">
        <f ca="1"/>
        <v>8.2337783127404283</v>
      </c>
    </row>
    <row r="23" spans="2:19" x14ac:dyDescent="0.55000000000000004">
      <c r="B23">
        <v>5.2000000000000005E-2</v>
      </c>
      <c r="C23">
        <f ca="1"/>
        <v>-3.6601595202792908E-2</v>
      </c>
      <c r="D23">
        <f ca="1"/>
        <v>1</v>
      </c>
      <c r="E23" s="16">
        <f ca="1"/>
        <v>99.167453123922726</v>
      </c>
      <c r="F23" s="15">
        <f ca="1"/>
        <v>-6.9575826291105303</v>
      </c>
      <c r="G23" s="8">
        <f ca="1"/>
        <v>7.0159940685540434E-2</v>
      </c>
      <c r="H23" s="15">
        <f ca="1"/>
        <v>55.610315857025405</v>
      </c>
      <c r="I23" s="8">
        <f ca="1"/>
        <v>-0.51971762983054126</v>
      </c>
      <c r="J23" s="8">
        <f ca="1"/>
        <v>4.0712421631289786</v>
      </c>
      <c r="K23">
        <f ca="1"/>
        <v>0</v>
      </c>
      <c r="L23" cm="1">
        <f t="array" aca="1" ref="L23" ca="1">_xll.OPTION.BLACK.PUT_DELTA(E23, sigma*SQRT(t-B23), k)</f>
        <v>-0.51971762983054126</v>
      </c>
      <c r="R23" t="b">
        <v>0</v>
      </c>
      <c r="S23">
        <f ca="1"/>
        <v>-6.9575826291105303</v>
      </c>
    </row>
    <row r="24" spans="2:19" x14ac:dyDescent="0.55000000000000004">
      <c r="B24">
        <v>5.6000000000000001E-2</v>
      </c>
      <c r="C24">
        <f ca="1"/>
        <v>-9.6597717519683157E-2</v>
      </c>
      <c r="D24">
        <f ca="1"/>
        <v>1</v>
      </c>
      <c r="E24" s="16">
        <f ca="1"/>
        <v>97.976792801991735</v>
      </c>
      <c r="F24" s="15">
        <f ca="1"/>
        <v>5.3727728584359724</v>
      </c>
      <c r="G24" s="8">
        <f ca="1"/>
        <v>-5.4837198736380266E-2</v>
      </c>
      <c r="H24" s="15">
        <f ca="1"/>
        <v>60.983088715461378</v>
      </c>
      <c r="I24" s="8">
        <f ca="1"/>
        <v>-0.57455482856692153</v>
      </c>
      <c r="J24" s="8">
        <f ca="1"/>
        <v>4.6900493235762255</v>
      </c>
      <c r="K24">
        <f ca="1"/>
        <v>0</v>
      </c>
      <c r="L24" cm="1">
        <f t="array" aca="1" ref="L24" ca="1">_xll.OPTION.BLACK.PUT_DELTA(E24, sigma*SQRT(t-B24), k)</f>
        <v>-0.57455482856692153</v>
      </c>
      <c r="R24" t="b">
        <v>0</v>
      </c>
      <c r="S24">
        <f ca="1"/>
        <v>5.3727728584359724</v>
      </c>
    </row>
    <row r="25" spans="2:19" x14ac:dyDescent="0.55000000000000004">
      <c r="B25">
        <v>0.06</v>
      </c>
      <c r="C25">
        <f ca="1"/>
        <v>-0.11850734857340023</v>
      </c>
      <c r="D25">
        <f ca="1"/>
        <v>1</v>
      </c>
      <c r="E25" s="16">
        <f ca="1"/>
        <v>97.540601432665582</v>
      </c>
      <c r="F25" s="15">
        <f ca="1"/>
        <v>2.0556329279047598</v>
      </c>
      <c r="G25" s="8">
        <f ca="1"/>
        <v>-2.1074638639826393E-2</v>
      </c>
      <c r="H25" s="15">
        <f ca="1"/>
        <v>63.038721643366138</v>
      </c>
      <c r="I25" s="8">
        <f ca="1"/>
        <v>-0.59562946720674792</v>
      </c>
      <c r="J25" s="8">
        <f ca="1"/>
        <v>4.9406651810017834</v>
      </c>
      <c r="K25">
        <f ca="1"/>
        <v>0</v>
      </c>
      <c r="L25" cm="1">
        <f t="array" aca="1" ref="L25" ca="1">_xll.OPTION.BLACK.PUT_DELTA(E25, sigma*SQRT(t-B25), k)</f>
        <v>-0.59562946720674792</v>
      </c>
      <c r="R25" t="b">
        <v>0</v>
      </c>
      <c r="S25">
        <f ca="1"/>
        <v>2.0556329279047598</v>
      </c>
    </row>
    <row r="26" spans="2:19" x14ac:dyDescent="0.55000000000000004">
      <c r="B26">
        <v>6.4000000000000001E-2</v>
      </c>
      <c r="C26">
        <f ca="1"/>
        <v>-8.7928979512673117E-2</v>
      </c>
      <c r="D26">
        <f ca="1"/>
        <v>1</v>
      </c>
      <c r="E26" s="16">
        <f ca="1"/>
        <v>98.131104936984585</v>
      </c>
      <c r="F26" s="15">
        <f ca="1"/>
        <v>-2.5451839826697484</v>
      </c>
      <c r="G26" s="8">
        <f ca="1"/>
        <v>2.5936567047768921E-2</v>
      </c>
      <c r="H26" s="15">
        <f ca="1"/>
        <v>60.49353766069639</v>
      </c>
      <c r="I26" s="8">
        <f ca="1"/>
        <v>-0.569692900158979</v>
      </c>
      <c r="J26" s="8">
        <f ca="1"/>
        <v>4.5889438933405415</v>
      </c>
      <c r="K26">
        <f ca="1"/>
        <v>0</v>
      </c>
      <c r="L26" cm="1">
        <f t="array" aca="1" ref="L26" ca="1">_xll.OPTION.BLACK.PUT_DELTA(E26, sigma*SQRT(t-B26), k)</f>
        <v>-0.569692900158979</v>
      </c>
      <c r="R26" t="b">
        <v>0</v>
      </c>
      <c r="S26">
        <f ca="1"/>
        <v>-2.5451839826697484</v>
      </c>
    </row>
    <row r="27" spans="2:19" x14ac:dyDescent="0.55000000000000004">
      <c r="B27">
        <v>6.8000000000000005E-2</v>
      </c>
      <c r="C27">
        <f ca="1"/>
        <v>-9.8577808026113739E-2</v>
      </c>
      <c r="D27">
        <f ca="1"/>
        <v>1</v>
      </c>
      <c r="E27" s="16">
        <f ca="1"/>
        <v>97.914497600801468</v>
      </c>
      <c r="F27" s="15">
        <f ca="1"/>
        <v>1.1031333874451867</v>
      </c>
      <c r="G27" s="8">
        <f ca="1"/>
        <v>-1.1266292678564049E-2</v>
      </c>
      <c r="H27" s="15">
        <f ca="1"/>
        <v>61.596671048141573</v>
      </c>
      <c r="I27" s="8">
        <f ca="1"/>
        <v>-0.58095919283754305</v>
      </c>
      <c r="J27" s="8">
        <f ca="1"/>
        <v>4.7123435548864094</v>
      </c>
      <c r="K27">
        <f ca="1"/>
        <v>0</v>
      </c>
      <c r="L27" cm="1">
        <f t="array" aca="1" ref="L27" ca="1">_xll.OPTION.BLACK.PUT_DELTA(E27, sigma*SQRT(t-B27), k)</f>
        <v>-0.58095919283754305</v>
      </c>
      <c r="R27" t="b">
        <v>0</v>
      </c>
      <c r="S27">
        <f ca="1"/>
        <v>1.1031333874451867</v>
      </c>
    </row>
    <row r="28" spans="2:19" x14ac:dyDescent="0.55000000000000004">
      <c r="B28">
        <v>7.2000000000000008E-2</v>
      </c>
      <c r="C28">
        <f ca="1"/>
        <v>-6.4046031148470225E-2</v>
      </c>
      <c r="D28">
        <f ca="1"/>
        <v>1</v>
      </c>
      <c r="E28" s="16">
        <f ca="1"/>
        <v>98.585183322937723</v>
      </c>
      <c r="F28" s="15">
        <f ca="1"/>
        <v>-3.012401437614157</v>
      </c>
      <c r="G28" s="8">
        <f ca="1"/>
        <v>3.0556330435034695E-2</v>
      </c>
      <c r="H28" s="15">
        <f ca="1"/>
        <v>58.584269610527414</v>
      </c>
      <c r="I28" s="8">
        <f ca="1"/>
        <v>-0.55040286240250835</v>
      </c>
      <c r="J28" s="8">
        <f ca="1"/>
        <v>4.3227025191064641</v>
      </c>
      <c r="K28">
        <f ca="1"/>
        <v>0</v>
      </c>
      <c r="L28" cm="1">
        <f t="array" aca="1" ref="L28" ca="1">_xll.OPTION.BLACK.PUT_DELTA(E28, sigma*SQRT(t-B28), k)</f>
        <v>-0.55040286240250835</v>
      </c>
      <c r="R28" t="b">
        <v>0</v>
      </c>
      <c r="S28">
        <f ca="1"/>
        <v>-3.012401437614157</v>
      </c>
    </row>
    <row r="29" spans="2:19" x14ac:dyDescent="0.55000000000000004">
      <c r="B29">
        <v>7.5999999999999998E-2</v>
      </c>
      <c r="C29">
        <f ca="1"/>
        <v>-3.4214948865786167E-2</v>
      </c>
      <c r="D29">
        <f ca="1"/>
        <v>1</v>
      </c>
      <c r="E29" s="16">
        <f ca="1"/>
        <v>99.167188274526609</v>
      </c>
      <c r="F29" s="15">
        <f ca="1"/>
        <v>-2.6840544077269879</v>
      </c>
      <c r="G29" s="8">
        <f ca="1"/>
        <v>2.7065952503328661E-2</v>
      </c>
      <c r="H29" s="15">
        <f ca="1"/>
        <v>55.900215202800425</v>
      </c>
      <c r="I29" s="8">
        <f ca="1"/>
        <v>-0.52333690989917969</v>
      </c>
      <c r="J29" s="8">
        <f ca="1"/>
        <v>4.0023653278195042</v>
      </c>
      <c r="K29">
        <f ca="1"/>
        <v>0</v>
      </c>
      <c r="L29" cm="1">
        <f t="array" aca="1" ref="L29" ca="1">_xll.OPTION.BLACK.PUT_DELTA(E29, sigma*SQRT(t-B29), k)</f>
        <v>-0.52333690989917969</v>
      </c>
      <c r="R29" t="b">
        <v>0</v>
      </c>
      <c r="S29">
        <f ca="1"/>
        <v>-2.6840544077269879</v>
      </c>
    </row>
    <row r="30" spans="2:19" x14ac:dyDescent="0.55000000000000004">
      <c r="B30">
        <v>0.08</v>
      </c>
      <c r="C30">
        <f ca="1"/>
        <v>7.8428643005742926E-4</v>
      </c>
      <c r="D30">
        <f ca="1"/>
        <v>1</v>
      </c>
      <c r="E30" s="16">
        <f ca="1"/>
        <v>99.855789811570915</v>
      </c>
      <c r="F30" s="15">
        <f ca="1"/>
        <v>-3.2755768079653667</v>
      </c>
      <c r="G30" s="8">
        <f ca="1"/>
        <v>3.2803073453691767E-2</v>
      </c>
      <c r="H30" s="15">
        <f ca="1"/>
        <v>52.62463839483506</v>
      </c>
      <c r="I30" s="8">
        <f ca="1"/>
        <v>-0.49053383644548793</v>
      </c>
      <c r="J30" s="8">
        <f ca="1"/>
        <v>3.6419947272709123</v>
      </c>
      <c r="K30">
        <f ca="1"/>
        <v>0</v>
      </c>
      <c r="L30" cm="1">
        <f t="array" aca="1" ref="L30" ca="1">_xll.OPTION.BLACK.PUT_DELTA(E30, sigma*SQRT(t-B30), k)</f>
        <v>-0.49053383644548793</v>
      </c>
      <c r="R30" t="b">
        <v>0</v>
      </c>
      <c r="S30">
        <f ca="1"/>
        <v>-3.2755768079653667</v>
      </c>
    </row>
    <row r="31" spans="2:19" x14ac:dyDescent="0.55000000000000004">
      <c r="B31">
        <v>8.4000000000000005E-2</v>
      </c>
      <c r="C31">
        <f ca="1"/>
        <v>5.9185922500572235E-3</v>
      </c>
      <c r="D31">
        <f ca="1"/>
        <v>1</v>
      </c>
      <c r="E31" s="16">
        <f ca="1"/>
        <v>99.950384157733041</v>
      </c>
      <c r="F31" s="15">
        <f ca="1"/>
        <v>-0.43533450185298789</v>
      </c>
      <c r="G31" s="8">
        <f ca="1"/>
        <v>4.3555060395363832E-3</v>
      </c>
      <c r="H31" s="15">
        <f ca="1"/>
        <v>52.189303892982075</v>
      </c>
      <c r="I31" s="8">
        <f ca="1"/>
        <v>-0.48617833040595154</v>
      </c>
      <c r="J31" s="8">
        <f ca="1"/>
        <v>3.5955929997419531</v>
      </c>
      <c r="K31">
        <f ca="1"/>
        <v>0</v>
      </c>
      <c r="L31" cm="1">
        <f t="array" aca="1" ref="L31" ca="1">_xll.OPTION.BLACK.PUT_DELTA(E31, sigma*SQRT(t-B31), k)</f>
        <v>-0.48617833040595154</v>
      </c>
      <c r="R31" t="b">
        <v>0</v>
      </c>
      <c r="S31">
        <f ca="1"/>
        <v>-0.43533450185298789</v>
      </c>
    </row>
    <row r="32" spans="2:19" x14ac:dyDescent="0.55000000000000004">
      <c r="B32">
        <v>8.7999999999999995E-2</v>
      </c>
      <c r="C32">
        <f ca="1"/>
        <v>-9.6403361587121209E-3</v>
      </c>
      <c r="D32">
        <f ca="1"/>
        <v>1</v>
      </c>
      <c r="E32" s="16">
        <f ca="1"/>
        <v>99.631872533516358</v>
      </c>
      <c r="F32" s="15">
        <f ca="1"/>
        <v>1.5983178794050514</v>
      </c>
      <c r="G32" s="8">
        <f ca="1"/>
        <v>-1.6042234666094168E-2</v>
      </c>
      <c r="H32" s="15">
        <f ca="1"/>
        <v>53.787621772387126</v>
      </c>
      <c r="I32" s="8">
        <f ca="1"/>
        <v>-0.50222056507204571</v>
      </c>
      <c r="J32" s="8">
        <f ca="1"/>
        <v>3.7504464494185115</v>
      </c>
      <c r="K32">
        <f ca="1"/>
        <v>0</v>
      </c>
      <c r="L32" cm="1">
        <f t="array" aca="1" ref="L32" ca="1">_xll.OPTION.BLACK.PUT_DELTA(E32, sigma*SQRT(t-B32), k)</f>
        <v>-0.50222056507204571</v>
      </c>
      <c r="R32" t="b">
        <v>0</v>
      </c>
      <c r="S32">
        <f ca="1"/>
        <v>1.5983178794050514</v>
      </c>
    </row>
    <row r="33" spans="2:19" x14ac:dyDescent="0.55000000000000004">
      <c r="B33">
        <v>9.1999999999999998E-2</v>
      </c>
      <c r="C33">
        <f ca="1"/>
        <v>6.20316132258883E-2</v>
      </c>
      <c r="D33">
        <f ca="1"/>
        <v>1</v>
      </c>
      <c r="E33" s="16">
        <f ca="1"/>
        <v>101.06223433694545</v>
      </c>
      <c r="F33" s="15">
        <f ca="1"/>
        <v>-7.1513491826145463</v>
      </c>
      <c r="G33" s="8">
        <f ca="1"/>
        <v>7.0761835313987498E-2</v>
      </c>
      <c r="H33" s="15">
        <f ca="1"/>
        <v>46.636272589772581</v>
      </c>
      <c r="I33" s="8">
        <f ca="1"/>
        <v>-0.43145872975805821</v>
      </c>
      <c r="J33" s="8">
        <f ca="1"/>
        <v>3.0320893362428833</v>
      </c>
      <c r="K33">
        <f ca="1"/>
        <v>0</v>
      </c>
      <c r="L33" cm="1">
        <f t="array" aca="1" ref="L33" ca="1">_xll.OPTION.BLACK.PUT_DELTA(E33, sigma*SQRT(t-B33), k)</f>
        <v>-0.43145872975805821</v>
      </c>
      <c r="R33" t="b">
        <v>0</v>
      </c>
      <c r="S33">
        <f ca="1"/>
        <v>-7.1513491826145463</v>
      </c>
    </row>
    <row r="34" spans="2:19" x14ac:dyDescent="0.55000000000000004">
      <c r="B34">
        <v>9.6000000000000002E-2</v>
      </c>
      <c r="C34">
        <f ca="1"/>
        <v>2.2061295539491446E-3</v>
      </c>
      <c r="D34">
        <f ca="1"/>
        <v>1</v>
      </c>
      <c r="E34" s="16">
        <f ca="1"/>
        <v>99.852231875843529</v>
      </c>
      <c r="F34" s="15">
        <f ca="1"/>
        <v>6.0313554903147901</v>
      </c>
      <c r="G34" s="8">
        <f ca="1"/>
        <v>-6.0402811003906154E-2</v>
      </c>
      <c r="H34" s="15">
        <f ca="1"/>
        <v>52.667628080087368</v>
      </c>
      <c r="I34" s="8">
        <f ca="1"/>
        <v>-0.49186154076196437</v>
      </c>
      <c r="J34" s="8">
        <f ca="1"/>
        <v>3.5541554611140356</v>
      </c>
      <c r="K34">
        <f ca="1"/>
        <v>0</v>
      </c>
      <c r="L34" cm="1">
        <f t="array" aca="1" ref="L34" ca="1">_xll.OPTION.BLACK.PUT_DELTA(E34, sigma*SQRT(t-B34), k)</f>
        <v>-0.49186154076196437</v>
      </c>
      <c r="R34" t="b">
        <v>0</v>
      </c>
      <c r="S34">
        <f ca="1"/>
        <v>6.0313554903147901</v>
      </c>
    </row>
    <row r="35" spans="2:19" x14ac:dyDescent="0.55000000000000004">
      <c r="B35">
        <v>0.1</v>
      </c>
      <c r="C35">
        <f ca="1"/>
        <v>7.1266490555621398E-2</v>
      </c>
      <c r="D35">
        <f ca="1"/>
        <v>1</v>
      </c>
      <c r="E35" s="16">
        <f ca="1"/>
        <v>101.23286773351555</v>
      </c>
      <c r="F35" s="15">
        <f ca="1"/>
        <v>-7.0778142904383881</v>
      </c>
      <c r="G35" s="8">
        <f ca="1"/>
        <v>6.9916169016074503E-2</v>
      </c>
      <c r="H35" s="15">
        <f ca="1"/>
        <v>45.589813789648979</v>
      </c>
      <c r="I35" s="8">
        <f ca="1"/>
        <v>-0.42194537174588986</v>
      </c>
      <c r="J35" s="8">
        <f ca="1"/>
        <v>2.8750737809282612</v>
      </c>
      <c r="K35">
        <f ca="1"/>
        <v>0</v>
      </c>
      <c r="L35" cm="1">
        <f t="array" aca="1" ref="L35" ca="1">_xll.OPTION.BLACK.PUT_DELTA(E35, sigma*SQRT(t-B35), k)</f>
        <v>-0.42194537174588986</v>
      </c>
      <c r="R35" t="b">
        <v>0</v>
      </c>
      <c r="S35">
        <f ca="1"/>
        <v>-7.0778142904383881</v>
      </c>
    </row>
    <row r="36" spans="2:19" x14ac:dyDescent="0.55000000000000004">
      <c r="B36">
        <v>0.10400000000000001</v>
      </c>
      <c r="C36">
        <f ca="1"/>
        <v>0.13099342820239196</v>
      </c>
      <c r="D36">
        <f ca="1"/>
        <v>1</v>
      </c>
      <c r="E36" s="16">
        <f ca="1"/>
        <v>102.44118936575424</v>
      </c>
      <c r="F36" s="15">
        <f ca="1"/>
        <v>-6.167727409590781</v>
      </c>
      <c r="G36" s="8">
        <f ca="1"/>
        <v>6.0207495127469035E-2</v>
      </c>
      <c r="H36" s="15">
        <f ca="1"/>
        <v>39.422086380058197</v>
      </c>
      <c r="I36" s="8">
        <f ca="1"/>
        <v>-0.36173787661842083</v>
      </c>
      <c r="J36" s="8">
        <f ca="1"/>
        <v>2.3652280606247018</v>
      </c>
      <c r="K36">
        <f ca="1"/>
        <v>0</v>
      </c>
      <c r="L36" cm="1">
        <f t="array" aca="1" ref="L36" ca="1">_xll.OPTION.BLACK.PUT_DELTA(E36, sigma*SQRT(t-B36), k)</f>
        <v>-0.36173787661842083</v>
      </c>
      <c r="R36" t="b">
        <v>0</v>
      </c>
      <c r="S36">
        <f ca="1"/>
        <v>-6.167727409590781</v>
      </c>
    </row>
    <row r="37" spans="2:19" x14ac:dyDescent="0.55000000000000004">
      <c r="B37">
        <v>0.108</v>
      </c>
      <c r="C37">
        <f ca="1"/>
        <v>0.18219684398236274</v>
      </c>
      <c r="D37">
        <f ca="1"/>
        <v>1</v>
      </c>
      <c r="E37" s="16">
        <f ca="1"/>
        <v>103.48736777613819</v>
      </c>
      <c r="F37" s="15">
        <f ca="1"/>
        <v>-5.2326320518680864</v>
      </c>
      <c r="G37" s="8">
        <f ca="1"/>
        <v>5.056300265736019E-2</v>
      </c>
      <c r="H37" s="15">
        <f ca="1"/>
        <v>34.189454328190109</v>
      </c>
      <c r="I37" s="8">
        <f ca="1"/>
        <v>-0.31117487396106064</v>
      </c>
      <c r="J37" s="8">
        <f ca="1"/>
        <v>1.9867857038883798</v>
      </c>
      <c r="K37">
        <f ca="1"/>
        <v>0</v>
      </c>
      <c r="L37" cm="1">
        <f t="array" aca="1" ref="L37" ca="1">_xll.OPTION.BLACK.PUT_DELTA(E37, sigma*SQRT(t-B37), k)</f>
        <v>-0.31117487396106064</v>
      </c>
      <c r="R37" t="b">
        <v>0</v>
      </c>
      <c r="S37">
        <f ca="1"/>
        <v>-5.2326320518680864</v>
      </c>
    </row>
    <row r="38" spans="2:19" x14ac:dyDescent="0.55000000000000004">
      <c r="B38">
        <v>0.112</v>
      </c>
      <c r="C38">
        <f ca="1"/>
        <v>0.13834755944999449</v>
      </c>
      <c r="D38">
        <f ca="1"/>
        <v>1</v>
      </c>
      <c r="E38" s="16">
        <f ca="1"/>
        <v>102.57556001485359</v>
      </c>
      <c r="F38" s="15">
        <f ca="1"/>
        <v>4.2070177020489954</v>
      </c>
      <c r="G38" s="8">
        <f ca="1"/>
        <v>-4.1013840932867363E-2</v>
      </c>
      <c r="H38" s="15">
        <f ca="1"/>
        <v>38.396472030239103</v>
      </c>
      <c r="I38" s="8">
        <f ca="1"/>
        <v>-0.352188714893928</v>
      </c>
      <c r="J38" s="8">
        <f ca="1"/>
        <v>2.2705173690828317</v>
      </c>
      <c r="K38">
        <f ca="1"/>
        <v>0</v>
      </c>
      <c r="L38" cm="1">
        <f t="array" aca="1" ref="L38" ca="1">_xll.OPTION.BLACK.PUT_DELTA(E38, sigma*SQRT(t-B38), k)</f>
        <v>-0.352188714893928</v>
      </c>
      <c r="R38" t="b">
        <v>0</v>
      </c>
      <c r="S38">
        <f ca="1"/>
        <v>4.2070177020489954</v>
      </c>
    </row>
    <row r="39" spans="2:19" x14ac:dyDescent="0.55000000000000004">
      <c r="B39">
        <v>0.11600000000000001</v>
      </c>
      <c r="C39">
        <f ca="1"/>
        <v>0.21254428586411089</v>
      </c>
      <c r="D39">
        <f ca="1"/>
        <v>1</v>
      </c>
      <c r="E39" s="16">
        <f ca="1"/>
        <v>104.10073573351291</v>
      </c>
      <c r="F39" s="15">
        <f ca="1"/>
        <v>-7.6095252806163725</v>
      </c>
      <c r="G39" s="8">
        <f ca="1"/>
        <v>7.3097708935467742E-2</v>
      </c>
      <c r="H39" s="15">
        <f ca="1"/>
        <v>30.786946749622729</v>
      </c>
      <c r="I39" s="8">
        <f ca="1"/>
        <v>-0.27909100595846026</v>
      </c>
      <c r="J39" s="8">
        <f ca="1"/>
        <v>1.7333676927407815</v>
      </c>
      <c r="K39">
        <f ca="1"/>
        <v>0</v>
      </c>
      <c r="L39" cm="1">
        <f t="array" aca="1" ref="L39" ca="1">_xll.OPTION.BLACK.PUT_DELTA(E39, sigma*SQRT(t-B39), k)</f>
        <v>-0.27909100595846026</v>
      </c>
      <c r="R39" t="b">
        <v>0</v>
      </c>
      <c r="S39">
        <f ca="1"/>
        <v>-7.6095252806163725</v>
      </c>
    </row>
    <row r="40" spans="2:19" x14ac:dyDescent="0.55000000000000004">
      <c r="B40">
        <v>0.12</v>
      </c>
      <c r="C40">
        <f ca="1"/>
        <v>0.28323963365656635</v>
      </c>
      <c r="D40">
        <f ca="1"/>
        <v>1</v>
      </c>
      <c r="E40" s="16">
        <f ca="1"/>
        <v>105.57463174442114</v>
      </c>
      <c r="F40" s="15">
        <f ca="1"/>
        <v>-6.7400699819435417</v>
      </c>
      <c r="G40" s="8">
        <f ca="1"/>
        <v>6.3841756969232388E-2</v>
      </c>
      <c r="H40" s="15">
        <f ca="1"/>
        <v>24.046876767679187</v>
      </c>
      <c r="I40" s="8">
        <f ca="1"/>
        <v>-0.21524924898922787</v>
      </c>
      <c r="J40" s="8">
        <f ca="1"/>
        <v>1.3220165723782387</v>
      </c>
      <c r="K40">
        <f ca="1"/>
        <v>0</v>
      </c>
      <c r="L40" cm="1">
        <f t="array" aca="1" ref="L40" ca="1">_xll.OPTION.BLACK.PUT_DELTA(E40, sigma*SQRT(t-B40), k)</f>
        <v>-0.21524924898922787</v>
      </c>
      <c r="R40" t="b">
        <v>0</v>
      </c>
      <c r="S40">
        <f ca="1"/>
        <v>-6.7400699819435417</v>
      </c>
    </row>
    <row r="41" spans="2:19" x14ac:dyDescent="0.55000000000000004">
      <c r="B41">
        <v>0.124</v>
      </c>
      <c r="C41">
        <f ca="1"/>
        <v>0.2590668841000745</v>
      </c>
      <c r="D41">
        <f ca="1"/>
        <v>1</v>
      </c>
      <c r="E41" s="16">
        <f ca="1"/>
        <v>105.05705282281583</v>
      </c>
      <c r="F41" s="15">
        <f ca="1"/>
        <v>1.8199128412840706</v>
      </c>
      <c r="G41" s="8">
        <f ca="1"/>
        <v>-1.7323090572067046E-2</v>
      </c>
      <c r="H41" s="15">
        <f ca="1"/>
        <v>25.866789608963259</v>
      </c>
      <c r="I41" s="8">
        <f ca="1"/>
        <v>-0.23257233956129492</v>
      </c>
      <c r="J41" s="8">
        <f ca="1"/>
        <v>1.4334250465464393</v>
      </c>
      <c r="K41">
        <f ca="1"/>
        <v>0</v>
      </c>
      <c r="L41" cm="1">
        <f t="array" aca="1" ref="L41" ca="1">_xll.OPTION.BLACK.PUT_DELTA(E41, sigma*SQRT(t-B41), k)</f>
        <v>-0.23257233956129492</v>
      </c>
      <c r="R41" t="b">
        <v>0</v>
      </c>
      <c r="S41">
        <f ca="1"/>
        <v>1.8199128412840706</v>
      </c>
    </row>
    <row r="42" spans="2:19" x14ac:dyDescent="0.55000000000000004">
      <c r="B42">
        <v>0.128</v>
      </c>
      <c r="C42">
        <f ca="1"/>
        <v>0.21412376715358075</v>
      </c>
      <c r="D42">
        <f ca="1"/>
        <v>1</v>
      </c>
      <c r="E42" s="16">
        <f ca="1"/>
        <v>104.10863688962939</v>
      </c>
      <c r="F42" s="15">
        <f ca="1"/>
        <v>3.9480709098626936</v>
      </c>
      <c r="G42" s="8">
        <f ca="1"/>
        <v>-3.79226068827338E-2</v>
      </c>
      <c r="H42" s="15">
        <f ca="1"/>
        <v>29.814860518825952</v>
      </c>
      <c r="I42" s="8">
        <f ca="1"/>
        <v>-0.27049494644402872</v>
      </c>
      <c r="J42" s="8">
        <f ca="1"/>
        <v>1.6540003590048151</v>
      </c>
      <c r="K42">
        <f ca="1"/>
        <v>0</v>
      </c>
      <c r="L42" cm="1">
        <f t="array" aca="1" ref="L42" ca="1">_xll.OPTION.BLACK.PUT_DELTA(E42, sigma*SQRT(t-B42), k)</f>
        <v>-0.27049494644402872</v>
      </c>
      <c r="R42" t="b">
        <v>0</v>
      </c>
      <c r="S42">
        <f ca="1"/>
        <v>3.9480709098626936</v>
      </c>
    </row>
    <row r="43" spans="2:19" x14ac:dyDescent="0.55000000000000004">
      <c r="B43">
        <v>0.13200000000000001</v>
      </c>
      <c r="C43">
        <f ca="1"/>
        <v>0.19313966159457999</v>
      </c>
      <c r="D43">
        <f ca="1"/>
        <v>1</v>
      </c>
      <c r="E43" s="16">
        <f ca="1"/>
        <v>103.66433365342576</v>
      </c>
      <c r="F43" s="15">
        <f ca="1"/>
        <v>1.8521963451658827</v>
      </c>
      <c r="G43" s="8">
        <f ca="1"/>
        <v>-1.7867247874840064E-2</v>
      </c>
      <c r="H43" s="15">
        <f ca="1"/>
        <v>31.667056863991835</v>
      </c>
      <c r="I43" s="8">
        <f ca="1"/>
        <v>-0.28836219431886878</v>
      </c>
      <c r="J43" s="8">
        <f ca="1"/>
        <v>1.7741821390866299</v>
      </c>
      <c r="K43">
        <f ca="1"/>
        <v>0</v>
      </c>
      <c r="L43" cm="1">
        <f t="array" aca="1" ref="L43" ca="1">_xll.OPTION.BLACK.PUT_DELTA(E43, sigma*SQRT(t-B43), k)</f>
        <v>-0.28836219431886878</v>
      </c>
      <c r="R43" t="b">
        <v>0</v>
      </c>
      <c r="S43">
        <f ca="1"/>
        <v>1.8521963451658827</v>
      </c>
    </row>
    <row r="44" spans="2:19" x14ac:dyDescent="0.55000000000000004">
      <c r="B44">
        <v>0.13600000000000001</v>
      </c>
      <c r="C44">
        <f ca="1"/>
        <v>6.709731196151994E-2</v>
      </c>
      <c r="D44">
        <f ca="1"/>
        <v>1</v>
      </c>
      <c r="E44" s="16">
        <f ca="1"/>
        <v>101.07569063303315</v>
      </c>
      <c r="F44" s="15">
        <f ca="1"/>
        <v>13.688373121143483</v>
      </c>
      <c r="G44" s="8">
        <f ca="1"/>
        <v>-0.13542695612974526</v>
      </c>
      <c r="H44" s="15">
        <f ca="1"/>
        <v>45.355429985135316</v>
      </c>
      <c r="I44" s="8">
        <f ca="1"/>
        <v>-0.42378915044861404</v>
      </c>
      <c r="J44" s="8">
        <f ca="1"/>
        <v>2.5206489207552636</v>
      </c>
      <c r="K44">
        <f ca="1"/>
        <v>0</v>
      </c>
      <c r="L44" cm="1">
        <f t="array" aca="1" ref="L44" ca="1">_xll.OPTION.BLACK.PUT_DELTA(E44, sigma*SQRT(t-B44), k)</f>
        <v>-0.42378915044861404</v>
      </c>
      <c r="R44" t="b">
        <v>0</v>
      </c>
      <c r="S44">
        <f ca="1"/>
        <v>13.688373121143483</v>
      </c>
    </row>
    <row r="45" spans="2:19" x14ac:dyDescent="0.55000000000000004">
      <c r="B45">
        <v>0.14000000000000001</v>
      </c>
      <c r="C45">
        <f ca="1"/>
        <v>1.2746786589205694E-2</v>
      </c>
      <c r="D45">
        <f ca="1"/>
        <v>1</v>
      </c>
      <c r="E45" s="16">
        <f ca="1"/>
        <v>99.974938872609414</v>
      </c>
      <c r="F45" s="15">
        <f ca="1"/>
        <v>6.4472392306843229</v>
      </c>
      <c r="G45" s="8">
        <f ca="1"/>
        <v>-6.4488553865479803E-2</v>
      </c>
      <c r="H45" s="15">
        <f ca="1"/>
        <v>51.802669215819641</v>
      </c>
      <c r="I45" s="8">
        <f ca="1"/>
        <v>-0.48827770431409384</v>
      </c>
      <c r="J45" s="8">
        <f ca="1"/>
        <v>2.9871355741600567</v>
      </c>
      <c r="K45">
        <f ca="1"/>
        <v>0</v>
      </c>
      <c r="L45" cm="1">
        <f t="array" aca="1" ref="L45" ca="1">_xll.OPTION.BLACK.PUT_DELTA(E45, sigma*SQRT(t-B45), k)</f>
        <v>-0.48827770431409384</v>
      </c>
      <c r="R45" t="b">
        <v>0</v>
      </c>
      <c r="S45">
        <f ca="1"/>
        <v>6.4472392306843229</v>
      </c>
    </row>
    <row r="46" spans="2:19" x14ac:dyDescent="0.55000000000000004">
      <c r="B46">
        <v>0.14400000000000002</v>
      </c>
      <c r="C46">
        <f ca="1"/>
        <v>-8.8704016431699798E-2</v>
      </c>
      <c r="D46">
        <f ca="1"/>
        <v>1</v>
      </c>
      <c r="E46" s="16">
        <f ca="1"/>
        <v>97.959035159269717</v>
      </c>
      <c r="F46" s="15">
        <f ca="1"/>
        <v>12.10426430787048</v>
      </c>
      <c r="G46" s="8">
        <f ca="1"/>
        <v>-0.12356455214356071</v>
      </c>
      <c r="H46" s="15">
        <f ca="1"/>
        <v>63.906933523690121</v>
      </c>
      <c r="I46" s="8">
        <f ca="1"/>
        <v>-0.61184225645765455</v>
      </c>
      <c r="J46" s="8">
        <f ca="1"/>
        <v>3.9714564114278161</v>
      </c>
      <c r="K46">
        <f ca="1"/>
        <v>0</v>
      </c>
      <c r="L46" cm="1">
        <f t="array" aca="1" ref="L46" ca="1">_xll.OPTION.BLACK.PUT_DELTA(E46, sigma*SQRT(t-B46), k)</f>
        <v>-0.61184225645765455</v>
      </c>
      <c r="R46" t="b">
        <v>0</v>
      </c>
      <c r="S46">
        <f ca="1"/>
        <v>12.10426430787048</v>
      </c>
    </row>
    <row r="47" spans="2:19" x14ac:dyDescent="0.55000000000000004">
      <c r="B47">
        <v>0.14799999999999999</v>
      </c>
      <c r="C47">
        <f ca="1"/>
        <v>-3.3646742242101457E-2</v>
      </c>
      <c r="D47">
        <f ca="1"/>
        <v>1</v>
      </c>
      <c r="E47" s="16">
        <f ca="1"/>
        <v>99.035744204318661</v>
      </c>
      <c r="F47" s="15">
        <f ca="1"/>
        <v>-6.3561927156109537</v>
      </c>
      <c r="G47" s="8">
        <f ca="1"/>
        <v>6.4180794183740564E-2</v>
      </c>
      <c r="H47" s="15">
        <f ca="1"/>
        <v>57.550740808079169</v>
      </c>
      <c r="I47" s="8">
        <f ca="1"/>
        <v>-0.54766146227391399</v>
      </c>
      <c r="J47" s="8">
        <f ca="1"/>
        <v>3.3126803197567085</v>
      </c>
      <c r="K47">
        <f ca="1"/>
        <v>0</v>
      </c>
      <c r="L47" cm="1">
        <f t="array" aca="1" ref="L47" ca="1">_xll.OPTION.BLACK.PUT_DELTA(E47, sigma*SQRT(t-B47), k)</f>
        <v>-0.54766146227391399</v>
      </c>
      <c r="R47" t="b">
        <v>0</v>
      </c>
      <c r="S47">
        <f ca="1"/>
        <v>-6.3561927156109537</v>
      </c>
    </row>
    <row r="48" spans="2:19" x14ac:dyDescent="0.55000000000000004">
      <c r="B48">
        <v>0.152</v>
      </c>
      <c r="C48">
        <f ca="1"/>
        <v>-0.11612312936923248</v>
      </c>
      <c r="D48">
        <f ca="1"/>
        <v>1</v>
      </c>
      <c r="E48" s="16">
        <f ca="1"/>
        <v>97.407728944604344</v>
      </c>
      <c r="F48" s="15">
        <f ca="1"/>
        <v>10.07208952881385</v>
      </c>
      <c r="G48" s="8">
        <f ca="1"/>
        <v>-0.10340133825049791</v>
      </c>
      <c r="H48" s="15">
        <f ca="1"/>
        <v>67.622830336893017</v>
      </c>
      <c r="I48" s="8">
        <f ca="1"/>
        <v>-0.6510628005244119</v>
      </c>
      <c r="J48" s="8">
        <f ca="1"/>
        <v>4.2042815374960938</v>
      </c>
      <c r="K48">
        <f ca="1"/>
        <v>0</v>
      </c>
      <c r="L48" cm="1">
        <f t="array" aca="1" ref="L48" ca="1">_xll.OPTION.BLACK.PUT_DELTA(E48, sigma*SQRT(t-B48), k)</f>
        <v>-0.6510628005244119</v>
      </c>
      <c r="R48" t="b">
        <v>0</v>
      </c>
      <c r="S48">
        <f ca="1"/>
        <v>10.07208952881385</v>
      </c>
    </row>
    <row r="49" spans="2:19" x14ac:dyDescent="0.55000000000000004">
      <c r="B49">
        <v>0.156</v>
      </c>
      <c r="C49">
        <f ca="1"/>
        <v>-0.18159131284538241</v>
      </c>
      <c r="D49">
        <f ca="1"/>
        <v>1</v>
      </c>
      <c r="E49" s="16">
        <f ca="1"/>
        <v>96.132930215996453</v>
      </c>
      <c r="F49" s="15">
        <f ca="1"/>
        <v>7.5787602580131175</v>
      </c>
      <c r="G49" s="8">
        <f ca="1"/>
        <v>-7.8836255599249561E-2</v>
      </c>
      <c r="H49" s="15">
        <f ca="1"/>
        <v>75.201590594906136</v>
      </c>
      <c r="I49" s="8">
        <f ca="1"/>
        <v>-0.72989905612366146</v>
      </c>
      <c r="J49" s="8">
        <f ca="1"/>
        <v>5.0342555678485041</v>
      </c>
      <c r="K49">
        <f ca="1"/>
        <v>0</v>
      </c>
      <c r="L49" cm="1">
        <f t="array" aca="1" ref="L49" ca="1">_xll.OPTION.BLACK.PUT_DELTA(E49, sigma*SQRT(t-B49), k)</f>
        <v>-0.72989905612366146</v>
      </c>
      <c r="R49" t="b">
        <v>0</v>
      </c>
      <c r="S49">
        <f ca="1"/>
        <v>7.5787602580131175</v>
      </c>
    </row>
    <row r="50" spans="2:19" x14ac:dyDescent="0.55000000000000004">
      <c r="B50">
        <v>0.16</v>
      </c>
      <c r="C50">
        <f ca="1"/>
        <v>-9.1389546511380704E-2</v>
      </c>
      <c r="D50">
        <f ca="1"/>
        <v>1</v>
      </c>
      <c r="E50" s="16">
        <f ca="1"/>
        <v>97.875109852499904</v>
      </c>
      <c r="F50" s="15">
        <f ca="1"/>
        <v>-9.9214100693022083</v>
      </c>
      <c r="G50" s="8">
        <f ca="1"/>
        <v>0.10136806062597536</v>
      </c>
      <c r="H50" s="15">
        <f ca="1"/>
        <v>65.280180525603924</v>
      </c>
      <c r="I50" s="8">
        <f ca="1"/>
        <v>-0.6285309954976861</v>
      </c>
      <c r="J50" s="8">
        <f ca="1"/>
        <v>3.7626402955667757</v>
      </c>
      <c r="K50">
        <f ca="1"/>
        <v>0</v>
      </c>
      <c r="L50" cm="1">
        <f t="array" aca="1" ref="L50" ca="1">_xll.OPTION.BLACK.PUT_DELTA(E50, sigma*SQRT(t-B50), k)</f>
        <v>-0.6285309954976861</v>
      </c>
      <c r="R50" t="b">
        <v>0</v>
      </c>
      <c r="S50">
        <f ca="1"/>
        <v>-9.9214100693022083</v>
      </c>
    </row>
    <row r="51" spans="2:19" x14ac:dyDescent="0.55000000000000004">
      <c r="B51">
        <v>0.16400000000000001</v>
      </c>
      <c r="C51">
        <f ca="1"/>
        <v>-0.2115254633782577</v>
      </c>
      <c r="D51">
        <f ca="1"/>
        <v>1</v>
      </c>
      <c r="E51" s="16">
        <f ca="1"/>
        <v>95.543829831158163</v>
      </c>
      <c r="F51" s="15">
        <f ca="1"/>
        <v>13.778073993839895</v>
      </c>
      <c r="G51" s="8">
        <f ca="1"/>
        <v>-0.14420684222296765</v>
      </c>
      <c r="H51" s="15">
        <f ca="1"/>
        <v>79.058254519443821</v>
      </c>
      <c r="I51" s="8">
        <f ca="1"/>
        <v>-0.77273783772065374</v>
      </c>
      <c r="J51" s="8">
        <f ca="1"/>
        <v>5.2279220481645723</v>
      </c>
      <c r="K51">
        <f ca="1"/>
        <v>0</v>
      </c>
      <c r="L51" cm="1">
        <f t="array" aca="1" ref="L51" ca="1">_xll.OPTION.BLACK.PUT_DELTA(E51, sigma*SQRT(t-B51), k)</f>
        <v>-0.77273783772065374</v>
      </c>
      <c r="R51" t="b">
        <v>0</v>
      </c>
      <c r="S51">
        <f ca="1"/>
        <v>13.778073993839895</v>
      </c>
    </row>
    <row r="52" spans="2:19" x14ac:dyDescent="0.55000000000000004">
      <c r="B52">
        <v>0.16800000000000001</v>
      </c>
      <c r="C52">
        <f ca="1"/>
        <v>-0.28390445695363281</v>
      </c>
      <c r="D52">
        <f ca="1"/>
        <v>1</v>
      </c>
      <c r="E52" s="16">
        <f ca="1"/>
        <v>94.163185641612984</v>
      </c>
      <c r="F52" s="15">
        <f ca="1"/>
        <v>6.9441794017439271</v>
      </c>
      <c r="G52" s="8">
        <f ca="1"/>
        <v>-7.3746224221572287E-2</v>
      </c>
      <c r="H52" s="15">
        <f ca="1"/>
        <v>86.002433921187745</v>
      </c>
      <c r="I52" s="8">
        <f ca="1"/>
        <v>-0.84648406194222603</v>
      </c>
      <c r="J52" s="8">
        <f ca="1"/>
        <v>6.2947980538552883</v>
      </c>
      <c r="K52">
        <f ca="1"/>
        <v>0</v>
      </c>
      <c r="L52" cm="1">
        <f t="array" aca="1" ref="L52" ca="1">_xll.OPTION.BLACK.PUT_DELTA(E52, sigma*SQRT(t-B52), k)</f>
        <v>-0.84648406194222603</v>
      </c>
      <c r="R52" t="b">
        <v>0</v>
      </c>
      <c r="S52">
        <f ca="1"/>
        <v>6.9441794017439271</v>
      </c>
    </row>
    <row r="53" spans="2:19" x14ac:dyDescent="0.55000000000000004">
      <c r="B53">
        <v>0.17200000000000001</v>
      </c>
      <c r="C53">
        <f ca="1"/>
        <v>-0.23908950932935671</v>
      </c>
      <c r="D53">
        <f ca="1"/>
        <v>1</v>
      </c>
      <c r="E53" s="16">
        <f ca="1"/>
        <v>95.003362349060183</v>
      </c>
      <c r="F53" s="15">
        <f ca="1"/>
        <v>-3.1624828196366228</v>
      </c>
      <c r="G53" s="8">
        <f ca="1"/>
        <v>3.3288114667111124E-2</v>
      </c>
      <c r="H53" s="15">
        <f ca="1"/>
        <v>82.839951101551122</v>
      </c>
      <c r="I53" s="8">
        <f ca="1"/>
        <v>-0.81319594727511491</v>
      </c>
      <c r="J53" s="8">
        <f ca="1"/>
        <v>5.5836018617861356</v>
      </c>
      <c r="K53">
        <f ca="1"/>
        <v>0</v>
      </c>
      <c r="L53" cm="1">
        <f t="array" aca="1" ref="L53" ca="1">_xll.OPTION.BLACK.PUT_DELTA(E53, sigma*SQRT(t-B53), k)</f>
        <v>-0.81319594727511491</v>
      </c>
      <c r="R53" t="b">
        <v>0</v>
      </c>
      <c r="S53">
        <f ca="1"/>
        <v>-3.1624828196366228</v>
      </c>
    </row>
    <row r="54" spans="2:19" x14ac:dyDescent="0.55000000000000004">
      <c r="B54">
        <v>0.17599999999999999</v>
      </c>
      <c r="C54">
        <f ca="1"/>
        <v>-0.30066895118991238</v>
      </c>
      <c r="D54">
        <f ca="1"/>
        <v>1</v>
      </c>
      <c r="E54" s="16">
        <f ca="1"/>
        <v>93.832980224007827</v>
      </c>
      <c r="F54" s="15">
        <f ca="1"/>
        <v>5.6523538387997734</v>
      </c>
      <c r="G54" s="8">
        <f ca="1"/>
        <v>-6.0238455874532471E-2</v>
      </c>
      <c r="H54" s="15">
        <f ca="1"/>
        <v>88.492304940350891</v>
      </c>
      <c r="I54" s="8">
        <f ca="1"/>
        <v>-0.87343440314964738</v>
      </c>
      <c r="J54" s="8">
        <f ca="1"/>
        <v>6.5353518626419458</v>
      </c>
      <c r="K54">
        <f ca="1"/>
        <v>0</v>
      </c>
      <c r="L54" cm="1">
        <f t="array" aca="1" ref="L54" ca="1">_xll.OPTION.BLACK.PUT_DELTA(E54, sigma*SQRT(t-B54), k)</f>
        <v>-0.87343440314964738</v>
      </c>
      <c r="R54" t="b">
        <v>0</v>
      </c>
      <c r="S54">
        <f ca="1"/>
        <v>5.6523538387997734</v>
      </c>
    </row>
    <row r="55" spans="2:19" x14ac:dyDescent="0.55000000000000004">
      <c r="B55">
        <v>0.18</v>
      </c>
      <c r="C55">
        <f ca="1"/>
        <v>-0.298428449414394</v>
      </c>
      <c r="D55">
        <f ca="1"/>
        <v>1</v>
      </c>
      <c r="E55" s="16">
        <f ca="1"/>
        <v>93.867526535213358</v>
      </c>
      <c r="F55" s="15">
        <f ca="1"/>
        <v>0.51349640676914787</v>
      </c>
      <c r="G55" s="8">
        <f ca="1"/>
        <v>-5.4704371759121129E-3</v>
      </c>
      <c r="H55" s="15">
        <f ca="1"/>
        <v>89.005801347120041</v>
      </c>
      <c r="I55" s="8">
        <f ca="1"/>
        <v>-0.87890484032555949</v>
      </c>
      <c r="J55" s="8">
        <f ca="1"/>
        <v>6.5051779259331255</v>
      </c>
      <c r="K55">
        <f ca="1"/>
        <v>0</v>
      </c>
      <c r="L55" cm="1">
        <f t="array" aca="1" ref="L55" ca="1">_xll.OPTION.BLACK.PUT_DELTA(E55, sigma*SQRT(t-B55), k)</f>
        <v>-0.87890484032555949</v>
      </c>
      <c r="R55" t="b">
        <v>0</v>
      </c>
      <c r="S55">
        <f ca="1"/>
        <v>0.51349640676914787</v>
      </c>
    </row>
    <row r="56" spans="2:19" x14ac:dyDescent="0.55000000000000004">
      <c r="B56">
        <v>0.184</v>
      </c>
      <c r="C56">
        <f ca="1"/>
        <v>-0.29340329525608827</v>
      </c>
      <c r="D56">
        <f ca="1"/>
        <v>1</v>
      </c>
      <c r="E56" s="16">
        <f ca="1"/>
        <v>93.954397064114531</v>
      </c>
      <c r="F56" s="15">
        <f ca="1"/>
        <v>0.34564801062337736</v>
      </c>
      <c r="G56" s="8">
        <f ca="1"/>
        <v>-3.6788912645302485E-3</v>
      </c>
      <c r="H56" s="15">
        <f ca="1"/>
        <v>89.351449357743419</v>
      </c>
      <c r="I56" s="8">
        <f ca="1"/>
        <v>-0.88258373159008974</v>
      </c>
      <c r="J56" s="8">
        <f ca="1"/>
        <v>6.4288269976002397</v>
      </c>
      <c r="K56">
        <f ca="1"/>
        <v>0</v>
      </c>
      <c r="L56" cm="1">
        <f t="array" aca="1" ref="L56" ca="1">_xll.OPTION.BLACK.PUT_DELTA(E56, sigma*SQRT(t-B56), k)</f>
        <v>-0.88258373159008974</v>
      </c>
      <c r="R56" t="b">
        <v>0</v>
      </c>
      <c r="S56">
        <f ca="1"/>
        <v>0.34564801062337736</v>
      </c>
    </row>
    <row r="57" spans="2:19" x14ac:dyDescent="0.55000000000000004">
      <c r="B57">
        <v>0.188</v>
      </c>
      <c r="C57">
        <f ca="1"/>
        <v>-0.25557146542712228</v>
      </c>
      <c r="D57">
        <f ca="1"/>
        <v>1</v>
      </c>
      <c r="E57" s="16">
        <f ca="1"/>
        <v>94.660413515972536</v>
      </c>
      <c r="F57" s="15">
        <f ca="1"/>
        <v>-2.2077933156447842</v>
      </c>
      <c r="G57" s="8">
        <f ca="1"/>
        <v>2.3323300983385753E-2</v>
      </c>
      <c r="H57" s="15">
        <f ca="1"/>
        <v>87.143656042098641</v>
      </c>
      <c r="I57" s="8">
        <f ca="1"/>
        <v>-0.85926043060670398</v>
      </c>
      <c r="J57" s="8">
        <f ca="1"/>
        <v>5.8057083629554143</v>
      </c>
      <c r="K57">
        <f ca="1"/>
        <v>0</v>
      </c>
      <c r="L57" cm="1">
        <f t="array" aca="1" ref="L57" ca="1">_xll.OPTION.BLACK.PUT_DELTA(E57, sigma*SQRT(t-B57), k)</f>
        <v>-0.85926043060670398</v>
      </c>
      <c r="R57" t="b">
        <v>0</v>
      </c>
      <c r="S57">
        <f ca="1"/>
        <v>-2.2077933156447842</v>
      </c>
    </row>
    <row r="58" spans="2:19" x14ac:dyDescent="0.55000000000000004">
      <c r="B58">
        <v>0.192</v>
      </c>
      <c r="C58">
        <f ca="1"/>
        <v>-0.280924762541854</v>
      </c>
      <c r="D58">
        <f ca="1"/>
        <v>1</v>
      </c>
      <c r="E58" s="16">
        <f ca="1"/>
        <v>94.174103449002303</v>
      </c>
      <c r="F58" s="15">
        <f ca="1"/>
        <v>2.8165484948833548</v>
      </c>
      <c r="G58" s="8">
        <f ca="1"/>
        <v>-2.9907887537348188E-2</v>
      </c>
      <c r="H58" s="15">
        <f ca="1"/>
        <v>89.96020453698199</v>
      </c>
      <c r="I58" s="8">
        <f ca="1"/>
        <v>-0.88916831814405217</v>
      </c>
      <c r="J58" s="8">
        <f ca="1"/>
        <v>6.223575360508633</v>
      </c>
      <c r="K58">
        <f ca="1"/>
        <v>0</v>
      </c>
      <c r="L58" cm="1">
        <f t="array" aca="1" ref="L58" ca="1">_xll.OPTION.BLACK.PUT_DELTA(E58, sigma*SQRT(t-B58), k)</f>
        <v>-0.88916831814405217</v>
      </c>
      <c r="R58" t="b">
        <v>0</v>
      </c>
      <c r="S58">
        <f ca="1"/>
        <v>2.8165484948833548</v>
      </c>
    </row>
    <row r="59" spans="2:19" x14ac:dyDescent="0.55000000000000004">
      <c r="B59">
        <v>0.19600000000000001</v>
      </c>
      <c r="C59">
        <f ca="1"/>
        <v>-0.23056191342199314</v>
      </c>
      <c r="D59">
        <f ca="1"/>
        <v>1</v>
      </c>
      <c r="E59" s="16">
        <f ca="1"/>
        <v>95.119862163721209</v>
      </c>
      <c r="F59" s="15">
        <f ca="1"/>
        <v>-3.3551557437792145</v>
      </c>
      <c r="G59" s="8">
        <f ca="1"/>
        <v>3.5272924786247994E-2</v>
      </c>
      <c r="H59" s="15">
        <f ca="1"/>
        <v>86.605048793202769</v>
      </c>
      <c r="I59" s="8">
        <f ca="1"/>
        <v>-0.85389539335780418</v>
      </c>
      <c r="J59" s="8">
        <f ca="1"/>
        <v>5.3826366747719305</v>
      </c>
      <c r="K59">
        <f ca="1"/>
        <v>0</v>
      </c>
      <c r="L59" cm="1">
        <f t="array" aca="1" ref="L59" ca="1">_xll.OPTION.BLACK.PUT_DELTA(E59, sigma*SQRT(t-B59), k)</f>
        <v>-0.85389539335780418</v>
      </c>
      <c r="R59" t="b">
        <v>0</v>
      </c>
      <c r="S59">
        <f ca="1"/>
        <v>-3.3551557437792145</v>
      </c>
    </row>
    <row r="60" spans="2:19" x14ac:dyDescent="0.55000000000000004">
      <c r="B60">
        <v>0.2</v>
      </c>
      <c r="C60">
        <f ca="1"/>
        <v>-0.15651592430599184</v>
      </c>
      <c r="D60">
        <f ca="1"/>
        <v>1</v>
      </c>
      <c r="E60" s="16">
        <f ca="1"/>
        <v>96.531270368871802</v>
      </c>
      <c r="F60" s="15">
        <f ca="1"/>
        <v>-7.2807269906913712</v>
      </c>
      <c r="G60" s="8">
        <f ca="1"/>
        <v>7.5423507458979522E-2</v>
      </c>
      <c r="H60" s="15">
        <f ca="1"/>
        <v>79.324321802511392</v>
      </c>
      <c r="I60" s="8">
        <f ca="1"/>
        <v>-0.77847188589882466</v>
      </c>
      <c r="J60" s="8">
        <f ca="1"/>
        <v>4.177441710246427</v>
      </c>
      <c r="K60">
        <f ca="1"/>
        <v>0</v>
      </c>
      <c r="L60" cm="1">
        <f t="array" aca="1" ref="L60" ca="1">_xll.OPTION.BLACK.PUT_DELTA(E60, sigma*SQRT(t-B60), k)</f>
        <v>-0.77847188589882466</v>
      </c>
      <c r="R60" t="b">
        <v>0</v>
      </c>
      <c r="S60">
        <f ca="1"/>
        <v>-7.2807269906913712</v>
      </c>
    </row>
    <row r="61" spans="2:19" x14ac:dyDescent="0.55000000000000004">
      <c r="B61">
        <v>0.20400000000000001</v>
      </c>
      <c r="C61">
        <f ca="1"/>
        <v>-0.24047337356580839</v>
      </c>
      <c r="D61">
        <f ca="1"/>
        <v>1</v>
      </c>
      <c r="E61" s="16">
        <f ca="1"/>
        <v>94.916305757714227</v>
      </c>
      <c r="F61" s="15">
        <f ca="1"/>
        <v>10.009997436126556</v>
      </c>
      <c r="G61" s="8">
        <f ca="1"/>
        <v>-0.10546130463271852</v>
      </c>
      <c r="H61" s="15">
        <f ca="1"/>
        <v>89.334319238637946</v>
      </c>
      <c r="I61" s="8">
        <f ca="1"/>
        <v>-0.88393319053154318</v>
      </c>
      <c r="J61" s="8">
        <f ca="1"/>
        <v>5.4346462567541209</v>
      </c>
      <c r="K61">
        <f ca="1"/>
        <v>0</v>
      </c>
      <c r="L61" cm="1">
        <f t="array" aca="1" ref="L61" ca="1">_xll.OPTION.BLACK.PUT_DELTA(E61, sigma*SQRT(t-B61), k)</f>
        <v>-0.88393319053154318</v>
      </c>
      <c r="R61" t="b">
        <v>0</v>
      </c>
      <c r="S61">
        <f ca="1"/>
        <v>10.009997436126556</v>
      </c>
    </row>
    <row r="62" spans="2:19" x14ac:dyDescent="0.55000000000000004">
      <c r="B62">
        <v>0.20800000000000002</v>
      </c>
      <c r="C62">
        <f ca="1"/>
        <v>-0.29808592302888082</v>
      </c>
      <c r="D62">
        <f ca="1"/>
        <v>1</v>
      </c>
      <c r="E62" s="16">
        <f ca="1"/>
        <v>93.82140247706397</v>
      </c>
      <c r="F62" s="15">
        <f ca="1"/>
        <v>5.041729258228</v>
      </c>
      <c r="G62" s="8">
        <f ca="1"/>
        <v>-5.3737517507911114E-2</v>
      </c>
      <c r="H62" s="15">
        <f ca="1"/>
        <v>94.376048496865948</v>
      </c>
      <c r="I62" s="8">
        <f ca="1"/>
        <v>-0.93767070803945429</v>
      </c>
      <c r="J62" s="8">
        <f ca="1"/>
        <v>6.4024676069427642</v>
      </c>
      <c r="K62">
        <f ca="1"/>
        <v>0</v>
      </c>
      <c r="L62" cm="1">
        <f t="array" aca="1" ref="L62" ca="1">_xll.OPTION.BLACK.PUT_DELTA(E62, sigma*SQRT(t-B62), k)</f>
        <v>-0.93767070803945429</v>
      </c>
      <c r="R62" t="b">
        <v>0</v>
      </c>
      <c r="S62">
        <f ca="1"/>
        <v>5.041729258228</v>
      </c>
    </row>
    <row r="63" spans="2:19" x14ac:dyDescent="0.55000000000000004">
      <c r="B63">
        <v>0.21199999999999999</v>
      </c>
      <c r="C63">
        <f ca="1"/>
        <v>-0.37762473338648833</v>
      </c>
      <c r="D63">
        <f ca="1"/>
        <v>1</v>
      </c>
      <c r="E63" s="16">
        <f ca="1"/>
        <v>92.33333534542119</v>
      </c>
      <c r="F63" s="15">
        <f ca="1"/>
        <v>3.7828167416744289</v>
      </c>
      <c r="G63" s="8">
        <f ca="1"/>
        <v>-4.0969133493584109E-2</v>
      </c>
      <c r="H63" s="15">
        <f ca="1"/>
        <v>98.158865238540372</v>
      </c>
      <c r="I63" s="8">
        <f ca="1"/>
        <v>-0.9786398415330384</v>
      </c>
      <c r="J63" s="8">
        <f ca="1"/>
        <v>7.797784567880484</v>
      </c>
      <c r="K63">
        <f ca="1"/>
        <v>0</v>
      </c>
      <c r="L63" cm="1">
        <f t="array" aca="1" ref="L63" ca="1">_xll.OPTION.BLACK.PUT_DELTA(E63, sigma*SQRT(t-B63), k)</f>
        <v>-0.9786398415330384</v>
      </c>
      <c r="R63" t="b">
        <v>0</v>
      </c>
      <c r="S63">
        <f ca="1"/>
        <v>3.7828167416744289</v>
      </c>
    </row>
    <row r="64" spans="2:19" x14ac:dyDescent="0.55000000000000004">
      <c r="B64">
        <v>0.216</v>
      </c>
      <c r="C64">
        <f ca="1"/>
        <v>-0.50772035170553598</v>
      </c>
      <c r="D64">
        <f ca="1"/>
        <v>1</v>
      </c>
      <c r="E64" s="16">
        <f ca="1"/>
        <v>89.954691487119049</v>
      </c>
      <c r="F64" s="15">
        <f ca="1"/>
        <v>1.7261670346139899</v>
      </c>
      <c r="G64" s="8">
        <f ca="1"/>
        <v>-1.9189294144387858E-2</v>
      </c>
      <c r="H64" s="15">
        <f ca="1"/>
        <v>99.885032273154366</v>
      </c>
      <c r="I64" s="8">
        <f ca="1"/>
        <v>-0.99782913567742626</v>
      </c>
      <c r="J64" s="8">
        <f ca="1"/>
        <v>10.125620216432836</v>
      </c>
      <c r="K64">
        <f ca="1"/>
        <v>0</v>
      </c>
      <c r="L64" cm="1">
        <f t="array" aca="1" ref="L64" ca="1">_xll.OPTION.BLACK.PUT_DELTA(E64, sigma*SQRT(t-B64), k)</f>
        <v>-0.99782913567742626</v>
      </c>
      <c r="R64" t="b">
        <v>0</v>
      </c>
      <c r="S64">
        <f ca="1"/>
        <v>1.7261670346139899</v>
      </c>
    </row>
    <row r="65" spans="2:19" x14ac:dyDescent="0.55000000000000004">
      <c r="B65">
        <v>0.22</v>
      </c>
      <c r="C65">
        <f ca="1"/>
        <v>-0.34493389793468632</v>
      </c>
      <c r="D65">
        <f ca="1"/>
        <v>1</v>
      </c>
      <c r="E65" s="16">
        <f ca="1"/>
        <v>92.924134892519604</v>
      </c>
      <c r="F65" s="15">
        <f ca="1"/>
        <v>-1.4535204418906189</v>
      </c>
      <c r="G65" s="8">
        <f ca="1"/>
        <v>1.5642012094832292E-2</v>
      </c>
      <c r="H65" s="15">
        <f ca="1"/>
        <v>98.431511831263748</v>
      </c>
      <c r="I65" s="8">
        <f ca="1"/>
        <v>-0.98218712358259397</v>
      </c>
      <c r="J65" s="8">
        <f ca="1"/>
        <v>7.1626230697789595</v>
      </c>
      <c r="K65">
        <f ca="1"/>
        <v>0</v>
      </c>
      <c r="L65" cm="1">
        <f t="array" aca="1" ref="L65" ca="1">_xll.OPTION.BLACK.PUT_DELTA(E65, sigma*SQRT(t-B65), k)</f>
        <v>-0.98218712358259397</v>
      </c>
      <c r="R65" t="b">
        <v>0</v>
      </c>
      <c r="S65">
        <f ca="1"/>
        <v>-1.4535204418906189</v>
      </c>
    </row>
    <row r="66" spans="2:19" x14ac:dyDescent="0.55000000000000004">
      <c r="B66">
        <v>0.224</v>
      </c>
      <c r="C66">
        <f ca="1"/>
        <v>-0.31898973005987069</v>
      </c>
      <c r="D66">
        <f ca="1"/>
        <v>1</v>
      </c>
      <c r="E66" s="16">
        <f ca="1"/>
        <v>93.400083568876695</v>
      </c>
      <c r="F66" s="15">
        <f ca="1"/>
        <v>-3.6322329640012902E-4</v>
      </c>
      <c r="G66" s="8">
        <f ca="1"/>
        <v>3.8888969101646964E-6</v>
      </c>
      <c r="H66" s="15">
        <f ca="1"/>
        <v>98.431148607967344</v>
      </c>
      <c r="I66" s="8">
        <f ca="1"/>
        <v>-0.9821832346856838</v>
      </c>
      <c r="J66" s="8">
        <f ca="1"/>
        <v>6.6951524083748382</v>
      </c>
      <c r="K66">
        <f ca="1"/>
        <v>0</v>
      </c>
      <c r="L66" cm="1">
        <f t="array" aca="1" ref="L66" ca="1">_xll.OPTION.BLACK.PUT_DELTA(E66, sigma*SQRT(t-B66), k)</f>
        <v>-0.9821832346856838</v>
      </c>
      <c r="R66" t="b">
        <v>0</v>
      </c>
      <c r="S66">
        <f ca="1"/>
        <v>-3.6322329640012902E-4</v>
      </c>
    </row>
    <row r="67" spans="2:19" x14ac:dyDescent="0.55000000000000004">
      <c r="B67">
        <v>0.22800000000000001</v>
      </c>
      <c r="C67">
        <f ca="1"/>
        <v>-0.3712293163841891</v>
      </c>
      <c r="D67">
        <f ca="1"/>
        <v>1</v>
      </c>
      <c r="E67" s="16">
        <f ca="1"/>
        <v>92.421933194231798</v>
      </c>
      <c r="F67" s="15">
        <f ca="1"/>
        <v>1.2654749114098922</v>
      </c>
      <c r="G67" s="8">
        <f ca="1"/>
        <v>-1.3692365736933887E-2</v>
      </c>
      <c r="H67" s="15">
        <f ca="1"/>
        <v>99.696623519377241</v>
      </c>
      <c r="I67" s="8">
        <f ca="1"/>
        <v>-0.99587560042261769</v>
      </c>
      <c r="J67" s="8">
        <f ca="1"/>
        <v>7.6558753073525878</v>
      </c>
      <c r="K67">
        <f ca="1"/>
        <v>0</v>
      </c>
      <c r="L67" cm="1">
        <f t="array" aca="1" ref="L67" ca="1">_xll.OPTION.BLACK.PUT_DELTA(E67, sigma*SQRT(t-B67), k)</f>
        <v>-0.99587560042261769</v>
      </c>
      <c r="R67" t="b">
        <v>0</v>
      </c>
      <c r="S67">
        <f ca="1"/>
        <v>1.2654749114098922</v>
      </c>
    </row>
    <row r="68" spans="2:19" x14ac:dyDescent="0.55000000000000004">
      <c r="B68">
        <v>0.23200000000000001</v>
      </c>
      <c r="C68">
        <f ca="1"/>
        <v>-0.35301478631427879</v>
      </c>
      <c r="D68">
        <f ca="1"/>
        <v>1</v>
      </c>
      <c r="E68" s="16">
        <f ca="1"/>
        <v>92.751811168979359</v>
      </c>
      <c r="F68" s="15">
        <f ca="1"/>
        <v>0.13865255182001632</v>
      </c>
      <c r="G68" s="8">
        <f ca="1"/>
        <v>-1.4948770279796797E-3</v>
      </c>
      <c r="H68" s="15">
        <f ca="1"/>
        <v>99.835276071197256</v>
      </c>
      <c r="I68" s="8">
        <f ca="1"/>
        <v>-0.99737047745059737</v>
      </c>
      <c r="J68" s="8">
        <f ca="1"/>
        <v>7.3273578811846676</v>
      </c>
      <c r="K68">
        <f ca="1"/>
        <v>0</v>
      </c>
      <c r="L68" cm="1">
        <f t="array" aca="1" ref="L68" ca="1">_xll.OPTION.BLACK.PUT_DELTA(E68, sigma*SQRT(t-B68), k)</f>
        <v>-0.99737047745059737</v>
      </c>
      <c r="R68" t="b">
        <v>0</v>
      </c>
      <c r="S68">
        <f ca="1"/>
        <v>0.13865255182001632</v>
      </c>
    </row>
    <row r="69" spans="2:19" x14ac:dyDescent="0.55000000000000004">
      <c r="B69">
        <v>0.23600000000000002</v>
      </c>
      <c r="C69">
        <f ca="1"/>
        <v>-0.39699647338599492</v>
      </c>
      <c r="D69">
        <f ca="1"/>
        <v>1</v>
      </c>
      <c r="E69" s="16">
        <f ca="1"/>
        <v>91.932157938227618</v>
      </c>
      <c r="F69" s="15">
        <f ca="1"/>
        <v>0.22354350260653361</v>
      </c>
      <c r="G69" s="8">
        <f ca="1"/>
        <v>-2.4316137858608755E-3</v>
      </c>
      <c r="H69" s="15">
        <f ca="1"/>
        <v>100.05881957380379</v>
      </c>
      <c r="I69" s="8">
        <f ca="1"/>
        <v>-0.99980209123645825</v>
      </c>
      <c r="J69" s="8">
        <f ca="1"/>
        <v>8.1448558152834494</v>
      </c>
      <c r="K69">
        <f ca="1"/>
        <v>0</v>
      </c>
      <c r="L69" cm="1">
        <f t="array" aca="1" ref="L69" ca="1">_xll.OPTION.BLACK.PUT_DELTA(E69, sigma*SQRT(t-B69), k)</f>
        <v>-0.99980209123645825</v>
      </c>
      <c r="R69" t="b">
        <v>0</v>
      </c>
      <c r="S69">
        <f ca="1"/>
        <v>0.22354350260653361</v>
      </c>
    </row>
    <row r="70" spans="2:19" x14ac:dyDescent="0.55000000000000004">
      <c r="B70">
        <v>0.24</v>
      </c>
      <c r="C70">
        <f ca="1"/>
        <v>-0.2895536774227469</v>
      </c>
      <c r="D70">
        <f ca="1"/>
        <v>1</v>
      </c>
      <c r="E70" s="16">
        <f ca="1"/>
        <v>93.921511600443267</v>
      </c>
      <c r="F70" s="15">
        <f ca="1"/>
        <v>-6.4758471367802606E-2</v>
      </c>
      <c r="G70" s="8">
        <f ca="1"/>
        <v>6.8949562527587105E-4</v>
      </c>
      <c r="H70" s="15">
        <f ca="1"/>
        <v>99.994061102435992</v>
      </c>
      <c r="I70" s="8">
        <f ca="1"/>
        <v>-0.99911259561118237</v>
      </c>
      <c r="J70" s="8">
        <f ca="1"/>
        <v>6.1558958635913399</v>
      </c>
      <c r="K70">
        <f ca="1"/>
        <v>0</v>
      </c>
      <c r="L70" cm="1">
        <f t="array" aca="1" ref="L70" ca="1">_xll.OPTION.BLACK.PUT_DELTA(E70, sigma*SQRT(t-B70), k)</f>
        <v>-0.99911259561118237</v>
      </c>
      <c r="R70" t="b">
        <v>0</v>
      </c>
      <c r="S70">
        <f ca="1"/>
        <v>-6.4758471367802606E-2</v>
      </c>
    </row>
    <row r="71" spans="2:19" x14ac:dyDescent="0.55000000000000004">
      <c r="B71">
        <v>0.24399999999999999</v>
      </c>
      <c r="C71">
        <f ca="1"/>
        <v>-0.36812228490957727</v>
      </c>
      <c r="D71">
        <f ca="1"/>
        <v>1</v>
      </c>
      <c r="E71" s="16">
        <f ca="1"/>
        <v>92.449793945177376</v>
      </c>
      <c r="F71" s="15">
        <f ca="1"/>
        <v>8.202094177462381E-2</v>
      </c>
      <c r="G71" s="8">
        <f ca="1"/>
        <v>-8.8719442493578882E-4</v>
      </c>
      <c r="H71" s="15">
        <f ca="1"/>
        <v>100.07608204421062</v>
      </c>
      <c r="I71" s="8">
        <f ca="1"/>
        <v>-0.99999979003611816</v>
      </c>
      <c r="J71" s="8">
        <f ca="1"/>
        <v>7.626307510150852</v>
      </c>
      <c r="K71">
        <f ca="1"/>
        <v>0</v>
      </c>
      <c r="L71" cm="1">
        <f t="array" aca="1" ref="L71" ca="1">_xll.OPTION.BLACK.PUT_DELTA(E71, sigma*SQRT(t-B71), k)</f>
        <v>-0.99999979003611816</v>
      </c>
      <c r="R71" t="b">
        <v>0</v>
      </c>
      <c r="S71">
        <f ca="1"/>
        <v>8.202094177462381E-2</v>
      </c>
    </row>
    <row r="72" spans="2:19" x14ac:dyDescent="0.55000000000000004">
      <c r="B72">
        <v>0.248</v>
      </c>
      <c r="C72">
        <f ca="1"/>
        <v>-0.29050311713904503</v>
      </c>
      <c r="D72">
        <f ca="1"/>
        <v>1</v>
      </c>
      <c r="E72" s="16">
        <f ca="1"/>
        <v>93.888655344260698</v>
      </c>
      <c r="F72" s="15">
        <f ca="1"/>
        <v>-100.07608204421062</v>
      </c>
      <c r="G72" s="8">
        <f ca="1"/>
        <v>0.99999979003611816</v>
      </c>
      <c r="H72" s="15">
        <f ca="1"/>
        <v>0</v>
      </c>
      <c r="I72" s="8">
        <f ca="1"/>
        <v>37.867864301057594</v>
      </c>
      <c r="J72" s="8">
        <f ca="1"/>
        <v>3555.36285998523</v>
      </c>
      <c r="K72">
        <f ca="1"/>
        <v>6.1874464131764597</v>
      </c>
      <c r="L72" cm="1">
        <f t="array" aca="1" ref="L72" ca="1">_xll.OPTION.BLACK.PUT_DELTA(E72, sigma*SQRT(t-B72), k)</f>
        <v>-0.99999999999907874</v>
      </c>
      <c r="R72" t="b">
        <v>0</v>
      </c>
      <c r="S72">
        <f ca="1"/>
        <v>-93.888635631034163</v>
      </c>
    </row>
    <row r="73" spans="2:19" x14ac:dyDescent="0.55000000000000004">
      <c r="E73" s="16"/>
      <c r="F73" s="15"/>
      <c r="G73" s="8"/>
      <c r="H73" s="15"/>
      <c r="I73" s="8"/>
      <c r="J73" s="8"/>
    </row>
    <row r="74" spans="2:19" x14ac:dyDescent="0.55000000000000004">
      <c r="E74" s="16"/>
      <c r="F74" s="15"/>
      <c r="G74" s="8"/>
      <c r="H74" s="15"/>
      <c r="I74" s="8"/>
      <c r="J74" s="8"/>
    </row>
    <row r="75" spans="2:19" x14ac:dyDescent="0.55000000000000004">
      <c r="E75" s="16"/>
      <c r="F75" s="15"/>
      <c r="G75" s="8"/>
      <c r="H75" s="15"/>
      <c r="I75" s="8"/>
      <c r="J75" s="8"/>
    </row>
    <row r="76" spans="2:19" x14ac:dyDescent="0.55000000000000004">
      <c r="E76" s="16"/>
      <c r="F76" s="15"/>
      <c r="G76" s="8"/>
      <c r="H76" s="15"/>
      <c r="I76" s="8"/>
      <c r="J76" s="8"/>
    </row>
    <row r="77" spans="2:19" x14ac:dyDescent="0.55000000000000004">
      <c r="E77" s="16"/>
      <c r="F77" s="15"/>
      <c r="G77" s="8"/>
      <c r="H77" s="15"/>
      <c r="I77" s="8"/>
      <c r="J77" s="8"/>
    </row>
    <row r="78" spans="2:19" x14ac:dyDescent="0.55000000000000004">
      <c r="E78" s="16"/>
      <c r="F78" s="15"/>
      <c r="G78" s="8"/>
      <c r="H78" s="15"/>
      <c r="I78" s="8"/>
      <c r="J78" s="8"/>
    </row>
    <row r="79" spans="2:19" x14ac:dyDescent="0.55000000000000004">
      <c r="E79" s="16"/>
      <c r="F79" s="15"/>
      <c r="G79" s="8"/>
      <c r="H79" s="15"/>
      <c r="I79" s="8"/>
      <c r="J79" s="8"/>
    </row>
    <row r="80" spans="2:19" x14ac:dyDescent="0.55000000000000004">
      <c r="E80" s="16"/>
      <c r="F80" s="15"/>
      <c r="G80" s="8"/>
      <c r="H80" s="15"/>
      <c r="I80" s="8"/>
      <c r="J80" s="8"/>
    </row>
    <row r="81" spans="5:10" x14ac:dyDescent="0.55000000000000004">
      <c r="E81" s="16"/>
      <c r="F81" s="15"/>
      <c r="G81" s="8"/>
      <c r="H81" s="15"/>
      <c r="I81" s="8"/>
      <c r="J81" s="8"/>
    </row>
    <row r="82" spans="5:10" x14ac:dyDescent="0.55000000000000004">
      <c r="E82" s="16"/>
      <c r="F82" s="15"/>
      <c r="G82" s="8"/>
      <c r="H82" s="15"/>
      <c r="I82" s="8"/>
      <c r="J82" s="8"/>
    </row>
    <row r="83" spans="5:10" x14ac:dyDescent="0.55000000000000004">
      <c r="E83" s="16"/>
      <c r="F83" s="15"/>
      <c r="G83" s="8"/>
      <c r="H83" s="15"/>
      <c r="I83" s="8"/>
      <c r="J83" s="8"/>
    </row>
    <row r="84" spans="5:10" x14ac:dyDescent="0.55000000000000004">
      <c r="E84" s="16"/>
      <c r="F84" s="15"/>
      <c r="G84" s="8"/>
      <c r="H84" s="15"/>
      <c r="I84" s="8"/>
      <c r="J84" s="8"/>
    </row>
    <row r="85" spans="5:10" x14ac:dyDescent="0.55000000000000004">
      <c r="E85" s="16"/>
      <c r="F85" s="15"/>
      <c r="G85" s="8"/>
      <c r="H85" s="15"/>
      <c r="I85" s="8"/>
      <c r="J85" s="8"/>
    </row>
    <row r="86" spans="5:10" x14ac:dyDescent="0.55000000000000004">
      <c r="E86" s="16"/>
      <c r="F86" s="15"/>
      <c r="G86" s="8"/>
      <c r="H86" s="15"/>
      <c r="I86" s="8"/>
      <c r="J86" s="8"/>
    </row>
    <row r="87" spans="5:10" x14ac:dyDescent="0.55000000000000004">
      <c r="E87" s="16"/>
      <c r="F87" s="15"/>
      <c r="G87" s="8"/>
      <c r="H87" s="15"/>
      <c r="I87" s="8"/>
      <c r="J87" s="8"/>
    </row>
    <row r="88" spans="5:10" x14ac:dyDescent="0.55000000000000004">
      <c r="E88" s="16"/>
      <c r="F88" s="15"/>
      <c r="G88" s="8"/>
      <c r="H88" s="15"/>
      <c r="I88" s="8"/>
      <c r="J88" s="8"/>
    </row>
    <row r="89" spans="5:10" x14ac:dyDescent="0.55000000000000004">
      <c r="E89" s="16"/>
      <c r="F89" s="15"/>
      <c r="G89" s="8"/>
      <c r="H89" s="15"/>
      <c r="I89" s="8"/>
      <c r="J89" s="8"/>
    </row>
    <row r="90" spans="5:10" x14ac:dyDescent="0.55000000000000004">
      <c r="E90" s="16"/>
      <c r="F90" s="15"/>
      <c r="G90" s="8"/>
      <c r="H90" s="15"/>
      <c r="I90" s="8"/>
      <c r="J90" s="8"/>
    </row>
    <row r="91" spans="5:10" x14ac:dyDescent="0.55000000000000004">
      <c r="E91" s="16"/>
      <c r="F91" s="15"/>
      <c r="G91" s="8"/>
      <c r="H91" s="15"/>
      <c r="I91" s="8"/>
      <c r="J91" s="8"/>
    </row>
    <row r="92" spans="5:10" x14ac:dyDescent="0.55000000000000004">
      <c r="E92" s="16"/>
      <c r="F92" s="15"/>
      <c r="G92" s="8"/>
      <c r="H92" s="15"/>
      <c r="I92" s="8"/>
      <c r="J92" s="8"/>
    </row>
    <row r="93" spans="5:10" x14ac:dyDescent="0.55000000000000004">
      <c r="E93" s="16"/>
      <c r="F93" s="15"/>
      <c r="G93" s="8"/>
      <c r="H93" s="15"/>
      <c r="I93" s="8"/>
      <c r="J93" s="8"/>
    </row>
    <row r="94" spans="5:10" x14ac:dyDescent="0.55000000000000004">
      <c r="E94" s="16"/>
      <c r="F94" s="15"/>
      <c r="G94" s="8"/>
      <c r="H94" s="15"/>
      <c r="I94" s="8"/>
      <c r="J94" s="8"/>
    </row>
    <row r="95" spans="5:10" x14ac:dyDescent="0.55000000000000004">
      <c r="E95" s="16"/>
      <c r="F95" s="15"/>
      <c r="G95" s="8"/>
      <c r="H95" s="15"/>
      <c r="I95" s="8"/>
      <c r="J95" s="8"/>
    </row>
    <row r="96" spans="5:10" x14ac:dyDescent="0.55000000000000004">
      <c r="E96" s="16"/>
      <c r="F96" s="15"/>
      <c r="G96" s="8"/>
      <c r="H96" s="15"/>
      <c r="I96" s="8"/>
      <c r="J96" s="8"/>
    </row>
    <row r="97" spans="5:10" x14ac:dyDescent="0.55000000000000004">
      <c r="E97" s="16"/>
      <c r="F97" s="15"/>
      <c r="G97" s="8"/>
      <c r="H97" s="15"/>
      <c r="I97" s="8"/>
      <c r="J97" s="8"/>
    </row>
    <row r="98" spans="5:10" x14ac:dyDescent="0.55000000000000004">
      <c r="E98" s="16"/>
      <c r="F98" s="15"/>
      <c r="G98" s="8"/>
      <c r="H98" s="15"/>
      <c r="I98" s="8"/>
      <c r="J98" s="8"/>
    </row>
    <row r="99" spans="5:10" x14ac:dyDescent="0.55000000000000004">
      <c r="E99" s="16"/>
      <c r="F99" s="15"/>
      <c r="G99" s="8"/>
      <c r="H99" s="15"/>
      <c r="I99" s="8"/>
    </row>
    <row r="100" spans="5:10" x14ac:dyDescent="0.55000000000000004">
      <c r="E100" s="16"/>
      <c r="F100" s="15"/>
      <c r="G100" s="8"/>
      <c r="H100" s="15"/>
      <c r="I100" s="8"/>
    </row>
    <row r="101" spans="5:10" x14ac:dyDescent="0.55000000000000004">
      <c r="E101" s="16"/>
      <c r="F101" s="15"/>
      <c r="G101" s="8"/>
      <c r="H101" s="15"/>
      <c r="I101" s="8"/>
    </row>
    <row r="102" spans="5:10" x14ac:dyDescent="0.55000000000000004">
      <c r="E102" s="16"/>
      <c r="F102" s="15"/>
      <c r="G102" s="8"/>
      <c r="H102" s="15"/>
      <c r="I102" s="8"/>
    </row>
    <row r="103" spans="5:10" x14ac:dyDescent="0.55000000000000004">
      <c r="E103" s="16"/>
      <c r="F103" s="15"/>
      <c r="G103" s="8"/>
      <c r="H103" s="15"/>
      <c r="I103" s="8"/>
    </row>
    <row r="104" spans="5:10" x14ac:dyDescent="0.55000000000000004">
      <c r="E104" s="16"/>
      <c r="F104" s="15"/>
      <c r="G104" s="8"/>
      <c r="H104" s="15"/>
      <c r="I104" s="8"/>
    </row>
    <row r="105" spans="5:10" x14ac:dyDescent="0.55000000000000004">
      <c r="E105" s="16"/>
      <c r="F105" s="15"/>
      <c r="G105" s="8"/>
      <c r="H105" s="15"/>
      <c r="I105" s="8"/>
    </row>
    <row r="106" spans="5:10" x14ac:dyDescent="0.55000000000000004">
      <c r="E106" s="16"/>
      <c r="F106" s="15"/>
      <c r="G106" s="8"/>
      <c r="H106" s="15"/>
      <c r="I106" s="8"/>
    </row>
    <row r="107" spans="5:10" x14ac:dyDescent="0.55000000000000004">
      <c r="E107" s="16"/>
      <c r="F107" s="15"/>
      <c r="G107" s="8"/>
      <c r="H107" s="15"/>
      <c r="I107" s="8"/>
    </row>
    <row r="108" spans="5:10" x14ac:dyDescent="0.55000000000000004">
      <c r="E108" s="16"/>
      <c r="F108" s="15"/>
      <c r="G108" s="8"/>
      <c r="H108" s="15"/>
      <c r="I108" s="8"/>
    </row>
    <row r="109" spans="5:10" x14ac:dyDescent="0.55000000000000004">
      <c r="E109" s="16"/>
      <c r="F109" s="15"/>
      <c r="G109" s="8"/>
      <c r="H109" s="15"/>
      <c r="I109" s="8"/>
    </row>
    <row r="110" spans="5:10" x14ac:dyDescent="0.55000000000000004">
      <c r="E110" s="16"/>
      <c r="F110" s="15"/>
      <c r="G110" s="8"/>
      <c r="H110" s="15"/>
      <c r="I110" s="8"/>
    </row>
    <row r="111" spans="5:10" x14ac:dyDescent="0.55000000000000004">
      <c r="F111" s="15"/>
      <c r="G111" s="8"/>
      <c r="H111" s="15"/>
      <c r="I111" s="8"/>
    </row>
    <row r="112" spans="5:10" x14ac:dyDescent="0.55000000000000004">
      <c r="F112" s="15"/>
      <c r="G112" s="8"/>
      <c r="H112" s="15"/>
      <c r="I112" s="8"/>
    </row>
    <row r="113" spans="6:9" x14ac:dyDescent="0.55000000000000004">
      <c r="F113" s="15"/>
      <c r="G113" s="8"/>
      <c r="H113" s="15"/>
      <c r="I113" s="8"/>
    </row>
    <row r="114" spans="6:9" x14ac:dyDescent="0.55000000000000004">
      <c r="F114" s="15"/>
      <c r="G114" s="8"/>
      <c r="H114" s="15"/>
      <c r="I114" s="8"/>
    </row>
    <row r="115" spans="6:9" x14ac:dyDescent="0.55000000000000004">
      <c r="F115" s="15"/>
      <c r="G115" s="8"/>
      <c r="H115" s="15"/>
      <c r="I115" s="8"/>
    </row>
    <row r="116" spans="6:9" x14ac:dyDescent="0.55000000000000004">
      <c r="F116" s="15"/>
      <c r="G116" s="8"/>
      <c r="H116" s="15"/>
      <c r="I116" s="8"/>
    </row>
    <row r="117" spans="6:9" x14ac:dyDescent="0.55000000000000004">
      <c r="F117" s="15"/>
      <c r="G117" s="8"/>
      <c r="H117" s="15"/>
      <c r="I117" s="8"/>
    </row>
    <row r="118" spans="6:9" x14ac:dyDescent="0.55000000000000004">
      <c r="F118" s="15"/>
      <c r="G118" s="8"/>
      <c r="H118" s="15"/>
      <c r="I118" s="8"/>
    </row>
    <row r="119" spans="6:9" x14ac:dyDescent="0.55000000000000004">
      <c r="F119" s="15"/>
      <c r="G119" s="8"/>
      <c r="H119" s="15"/>
      <c r="I119" s="8"/>
    </row>
    <row r="120" spans="6:9" x14ac:dyDescent="0.55000000000000004">
      <c r="F120" s="15"/>
      <c r="G120" s="8"/>
      <c r="H120" s="15"/>
      <c r="I120" s="8"/>
    </row>
    <row r="121" spans="6:9" x14ac:dyDescent="0.55000000000000004">
      <c r="F121" s="15"/>
      <c r="G121" s="8"/>
      <c r="H121" s="15"/>
      <c r="I121" s="8"/>
    </row>
    <row r="122" spans="6:9" x14ac:dyDescent="0.55000000000000004">
      <c r="F122" s="15"/>
      <c r="G122" s="8"/>
      <c r="H122" s="15"/>
      <c r="I122" s="8"/>
    </row>
    <row r="123" spans="6:9" x14ac:dyDescent="0.55000000000000004">
      <c r="F123" s="15"/>
      <c r="G123" s="8"/>
      <c r="H123" s="15"/>
      <c r="I123" s="8"/>
    </row>
    <row r="124" spans="6:9" x14ac:dyDescent="0.55000000000000004">
      <c r="F124" s="15"/>
      <c r="G124" s="8"/>
      <c r="H124" s="15"/>
      <c r="I124" s="8"/>
    </row>
    <row r="125" spans="6:9" x14ac:dyDescent="0.55000000000000004">
      <c r="F125" s="15"/>
      <c r="G125" s="8"/>
      <c r="H125" s="15"/>
      <c r="I125" s="8"/>
    </row>
    <row r="126" spans="6:9" x14ac:dyDescent="0.55000000000000004">
      <c r="F126" s="15"/>
      <c r="G126" s="8"/>
      <c r="H126" s="15"/>
      <c r="I126" s="8"/>
    </row>
    <row r="127" spans="6:9" x14ac:dyDescent="0.55000000000000004">
      <c r="F127" s="15"/>
      <c r="G127" s="8"/>
      <c r="H127" s="15"/>
      <c r="I127" s="8"/>
    </row>
    <row r="128" spans="6:9" x14ac:dyDescent="0.55000000000000004">
      <c r="F128" s="15"/>
      <c r="G128" s="8"/>
      <c r="H128" s="15"/>
      <c r="I128" s="8"/>
    </row>
    <row r="129" spans="6:9" x14ac:dyDescent="0.55000000000000004">
      <c r="F129" s="15"/>
      <c r="G129" s="8"/>
      <c r="H129" s="15"/>
      <c r="I129" s="8"/>
    </row>
    <row r="130" spans="6:9" x14ac:dyDescent="0.55000000000000004">
      <c r="F130" s="15"/>
      <c r="G130" s="8"/>
      <c r="H130" s="15"/>
      <c r="I130" s="8"/>
    </row>
    <row r="131" spans="6:9" x14ac:dyDescent="0.55000000000000004">
      <c r="F131" s="15"/>
      <c r="G131" s="8"/>
      <c r="H131" s="15"/>
      <c r="I131" s="8"/>
    </row>
    <row r="132" spans="6:9" x14ac:dyDescent="0.55000000000000004">
      <c r="F132" s="15"/>
      <c r="G132" s="8"/>
      <c r="H132" s="15"/>
      <c r="I132" s="8"/>
    </row>
    <row r="133" spans="6:9" x14ac:dyDescent="0.55000000000000004">
      <c r="F133" s="15"/>
      <c r="G133" s="8"/>
      <c r="H133" s="15"/>
      <c r="I133" s="8"/>
    </row>
    <row r="134" spans="6:9" x14ac:dyDescent="0.55000000000000004">
      <c r="F134" s="15"/>
      <c r="G134" s="8"/>
      <c r="H134" s="15"/>
      <c r="I134" s="8"/>
    </row>
    <row r="135" spans="6:9" x14ac:dyDescent="0.55000000000000004">
      <c r="F135" s="15"/>
      <c r="G135" s="8"/>
      <c r="H135" s="15"/>
      <c r="I135" s="8"/>
    </row>
    <row r="136" spans="6:9" x14ac:dyDescent="0.55000000000000004">
      <c r="F136" s="15"/>
      <c r="G136" s="8"/>
      <c r="H136" s="15"/>
      <c r="I136" s="8"/>
    </row>
    <row r="137" spans="6:9" x14ac:dyDescent="0.55000000000000004">
      <c r="F137" s="15"/>
      <c r="G137" s="8"/>
      <c r="H137" s="15"/>
      <c r="I137" s="8"/>
    </row>
    <row r="138" spans="6:9" x14ac:dyDescent="0.55000000000000004">
      <c r="F138" s="15"/>
      <c r="G138" s="8"/>
      <c r="H138" s="15"/>
      <c r="I138" s="8"/>
    </row>
    <row r="139" spans="6:9" x14ac:dyDescent="0.55000000000000004">
      <c r="F139" s="15"/>
      <c r="G139" s="8"/>
      <c r="H139" s="15"/>
      <c r="I139" s="8"/>
    </row>
    <row r="140" spans="6:9" x14ac:dyDescent="0.55000000000000004">
      <c r="F140" s="15"/>
      <c r="G140" s="8"/>
      <c r="H140" s="15"/>
      <c r="I140" s="8"/>
    </row>
    <row r="141" spans="6:9" x14ac:dyDescent="0.55000000000000004">
      <c r="F141" s="15"/>
      <c r="G141" s="8"/>
      <c r="H141" s="15"/>
      <c r="I141" s="8"/>
    </row>
    <row r="142" spans="6:9" x14ac:dyDescent="0.55000000000000004">
      <c r="F142" s="15"/>
      <c r="G142" s="8"/>
      <c r="H142" s="15"/>
      <c r="I142" s="8"/>
    </row>
    <row r="143" spans="6:9" x14ac:dyDescent="0.55000000000000004">
      <c r="F143" s="15"/>
      <c r="G143" s="8"/>
      <c r="I143" s="8"/>
    </row>
    <row r="144" spans="6:9" x14ac:dyDescent="0.55000000000000004">
      <c r="F144" s="15"/>
      <c r="G144" s="8"/>
      <c r="I144" s="8"/>
    </row>
    <row r="145" spans="6:9" x14ac:dyDescent="0.55000000000000004">
      <c r="F145" s="15"/>
      <c r="G145" s="8"/>
      <c r="I145" s="8"/>
    </row>
    <row r="146" spans="6:9" x14ac:dyDescent="0.55000000000000004">
      <c r="F146" s="15"/>
      <c r="G146" s="8"/>
      <c r="I146" s="8"/>
    </row>
    <row r="147" spans="6:9" x14ac:dyDescent="0.55000000000000004">
      <c r="F147" s="15"/>
      <c r="G147" s="8"/>
      <c r="I147" s="8"/>
    </row>
    <row r="148" spans="6:9" x14ac:dyDescent="0.55000000000000004">
      <c r="F148" s="15"/>
      <c r="G148" s="8"/>
      <c r="I148" s="8"/>
    </row>
    <row r="149" spans="6:9" x14ac:dyDescent="0.55000000000000004">
      <c r="F149" s="15"/>
      <c r="G149" s="8"/>
      <c r="I149" s="8"/>
    </row>
    <row r="150" spans="6:9" x14ac:dyDescent="0.55000000000000004">
      <c r="F150" s="15"/>
      <c r="G150" s="8"/>
      <c r="I150" s="8"/>
    </row>
    <row r="151" spans="6:9" x14ac:dyDescent="0.55000000000000004">
      <c r="F151" s="15"/>
      <c r="G151" s="8"/>
      <c r="I151" s="8"/>
    </row>
    <row r="152" spans="6:9" x14ac:dyDescent="0.55000000000000004">
      <c r="F152" s="15"/>
      <c r="G152" s="8"/>
      <c r="I152" s="8"/>
    </row>
    <row r="153" spans="6:9" x14ac:dyDescent="0.55000000000000004">
      <c r="F153" s="15"/>
      <c r="G153" s="8"/>
      <c r="I153" s="8"/>
    </row>
    <row r="154" spans="6:9" x14ac:dyDescent="0.55000000000000004">
      <c r="F154" s="15"/>
      <c r="G154" s="8"/>
      <c r="I154" s="8"/>
    </row>
    <row r="155" spans="6:9" x14ac:dyDescent="0.55000000000000004">
      <c r="F155" s="15"/>
      <c r="G155" s="8"/>
      <c r="I155" s="8"/>
    </row>
    <row r="156" spans="6:9" x14ac:dyDescent="0.55000000000000004">
      <c r="F156" s="15"/>
      <c r="G156" s="8"/>
      <c r="I156" s="8"/>
    </row>
    <row r="157" spans="6:9" x14ac:dyDescent="0.55000000000000004">
      <c r="F157" s="15"/>
      <c r="G157" s="8"/>
      <c r="I157" s="8"/>
    </row>
    <row r="158" spans="6:9" x14ac:dyDescent="0.55000000000000004">
      <c r="F158" s="15"/>
      <c r="G158" s="8"/>
      <c r="I158" s="8"/>
    </row>
    <row r="159" spans="6:9" x14ac:dyDescent="0.55000000000000004">
      <c r="F159" s="15"/>
      <c r="G159" s="8"/>
      <c r="I159" s="8"/>
    </row>
    <row r="160" spans="6:9" x14ac:dyDescent="0.55000000000000004">
      <c r="F160" s="15"/>
      <c r="G160" s="8"/>
      <c r="I160" s="8"/>
    </row>
    <row r="161" spans="6:9" x14ac:dyDescent="0.55000000000000004">
      <c r="F161" s="15"/>
      <c r="G161" s="8"/>
      <c r="I161" s="8"/>
    </row>
    <row r="162" spans="6:9" x14ac:dyDescent="0.55000000000000004">
      <c r="F162" s="15"/>
      <c r="G162" s="8"/>
      <c r="I162" s="8"/>
    </row>
    <row r="163" spans="6:9" x14ac:dyDescent="0.55000000000000004">
      <c r="F163" s="15"/>
      <c r="G163" s="8"/>
      <c r="I163" s="8"/>
    </row>
    <row r="164" spans="6:9" x14ac:dyDescent="0.55000000000000004">
      <c r="F164" s="15"/>
      <c r="G164" s="8"/>
      <c r="I164" s="8"/>
    </row>
    <row r="165" spans="6:9" x14ac:dyDescent="0.55000000000000004">
      <c r="F165" s="15"/>
      <c r="G165" s="8"/>
    </row>
    <row r="166" spans="6:9" x14ac:dyDescent="0.55000000000000004">
      <c r="F166" s="15"/>
      <c r="G166" s="8"/>
    </row>
    <row r="167" spans="6:9" x14ac:dyDescent="0.55000000000000004">
      <c r="F167" s="15"/>
      <c r="G167" s="8"/>
    </row>
    <row r="168" spans="6:9" x14ac:dyDescent="0.55000000000000004">
      <c r="F168" s="15"/>
      <c r="G168" s="8"/>
    </row>
    <row r="169" spans="6:9" x14ac:dyDescent="0.55000000000000004">
      <c r="F169" s="15"/>
      <c r="G169" s="8"/>
    </row>
    <row r="170" spans="6:9" x14ac:dyDescent="0.55000000000000004">
      <c r="F170" s="15"/>
      <c r="G170" s="8"/>
    </row>
    <row r="171" spans="6:9" x14ac:dyDescent="0.55000000000000004">
      <c r="F171" s="15"/>
      <c r="G171" s="8"/>
    </row>
    <row r="172" spans="6:9" x14ac:dyDescent="0.55000000000000004">
      <c r="F172" s="15"/>
      <c r="G172" s="8"/>
    </row>
    <row r="173" spans="6:9" x14ac:dyDescent="0.55000000000000004">
      <c r="F173" s="15"/>
      <c r="G173" s="8"/>
    </row>
    <row r="174" spans="6:9" x14ac:dyDescent="0.55000000000000004">
      <c r="F174" s="15"/>
      <c r="G174" s="8"/>
    </row>
    <row r="175" spans="6:9" x14ac:dyDescent="0.55000000000000004">
      <c r="F175" s="15"/>
      <c r="G175" s="8"/>
    </row>
    <row r="176" spans="6:9" x14ac:dyDescent="0.55000000000000004">
      <c r="F176" s="15"/>
      <c r="G176" s="8"/>
    </row>
    <row r="177" spans="6:7" x14ac:dyDescent="0.55000000000000004">
      <c r="F177" s="15"/>
      <c r="G177" s="8"/>
    </row>
    <row r="178" spans="6:7" x14ac:dyDescent="0.55000000000000004">
      <c r="F178" s="15"/>
      <c r="G178" s="8"/>
    </row>
    <row r="179" spans="6:7" x14ac:dyDescent="0.55000000000000004">
      <c r="F179" s="15"/>
      <c r="G179" s="8"/>
    </row>
    <row r="180" spans="6:7" x14ac:dyDescent="0.55000000000000004">
      <c r="F180" s="15"/>
      <c r="G180" s="8"/>
    </row>
    <row r="181" spans="6:7" x14ac:dyDescent="0.55000000000000004">
      <c r="F181" s="15"/>
      <c r="G181" s="8"/>
    </row>
    <row r="182" spans="6:7" x14ac:dyDescent="0.55000000000000004">
      <c r="F182" s="15"/>
      <c r="G182" s="8"/>
    </row>
    <row r="183" spans="6:7" x14ac:dyDescent="0.55000000000000004">
      <c r="F183" s="15"/>
      <c r="G183" s="8"/>
    </row>
    <row r="184" spans="6:7" x14ac:dyDescent="0.55000000000000004">
      <c r="F184" s="15"/>
      <c r="G184" s="8"/>
    </row>
    <row r="185" spans="6:7" x14ac:dyDescent="0.55000000000000004">
      <c r="F185" s="15"/>
      <c r="G185" s="8"/>
    </row>
    <row r="186" spans="6:7" x14ac:dyDescent="0.55000000000000004">
      <c r="F186" s="15"/>
      <c r="G186" s="8"/>
    </row>
    <row r="187" spans="6:7" x14ac:dyDescent="0.55000000000000004">
      <c r="G187" s="8"/>
    </row>
    <row r="188" spans="6:7" x14ac:dyDescent="0.55000000000000004">
      <c r="G188" s="8"/>
    </row>
    <row r="189" spans="6:7" x14ac:dyDescent="0.55000000000000004">
      <c r="G189" s="8"/>
    </row>
    <row r="190" spans="6:7" x14ac:dyDescent="0.55000000000000004">
      <c r="G190" s="8"/>
    </row>
    <row r="191" spans="6:7" x14ac:dyDescent="0.55000000000000004">
      <c r="G191" s="8"/>
    </row>
    <row r="192" spans="6:7" x14ac:dyDescent="0.55000000000000004">
      <c r="G192" s="8"/>
    </row>
    <row r="193" spans="7:7" x14ac:dyDescent="0.55000000000000004">
      <c r="G193" s="8"/>
    </row>
    <row r="194" spans="7:7" x14ac:dyDescent="0.55000000000000004">
      <c r="G194" s="8"/>
    </row>
    <row r="195" spans="7:7" x14ac:dyDescent="0.55000000000000004">
      <c r="G195" s="8"/>
    </row>
    <row r="196" spans="7:7" x14ac:dyDescent="0.55000000000000004">
      <c r="G196" s="8"/>
    </row>
    <row r="197" spans="7:7" x14ac:dyDescent="0.55000000000000004">
      <c r="G197" s="8"/>
    </row>
    <row r="198" spans="7:7" x14ac:dyDescent="0.55000000000000004">
      <c r="G198" s="8"/>
    </row>
    <row r="199" spans="7:7" x14ac:dyDescent="0.55000000000000004">
      <c r="G199" s="8"/>
    </row>
    <row r="200" spans="7:7" x14ac:dyDescent="0.55000000000000004">
      <c r="G200" s="8"/>
    </row>
    <row r="201" spans="7:7" x14ac:dyDescent="0.55000000000000004">
      <c r="G201" s="8"/>
    </row>
    <row r="202" spans="7:7" x14ac:dyDescent="0.55000000000000004">
      <c r="G202" s="8"/>
    </row>
    <row r="203" spans="7:7" x14ac:dyDescent="0.55000000000000004">
      <c r="G203" s="8"/>
    </row>
    <row r="204" spans="7:7" x14ac:dyDescent="0.55000000000000004">
      <c r="G204" s="8"/>
    </row>
    <row r="205" spans="7:7" x14ac:dyDescent="0.55000000000000004">
      <c r="G205" s="8"/>
    </row>
    <row r="206" spans="7:7" x14ac:dyDescent="0.55000000000000004">
      <c r="G206" s="8"/>
    </row>
    <row r="207" spans="7:7" x14ac:dyDescent="0.55000000000000004">
      <c r="G207" s="8"/>
    </row>
    <row r="208" spans="7:7" x14ac:dyDescent="0.55000000000000004">
      <c r="G208" s="8"/>
    </row>
  </sheetData>
  <mergeCells count="3">
    <mergeCell ref="D8:E8"/>
    <mergeCell ref="F8:G8"/>
    <mergeCell ref="H8:I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Elementary</vt:lpstr>
      <vt:lpstr>Simulation</vt:lpstr>
      <vt:lpstr>dt</vt:lpstr>
      <vt:lpstr>error</vt:lpstr>
      <vt:lpstr>f</vt:lpstr>
      <vt:lpstr>hedge</vt:lpstr>
      <vt:lpstr>k</vt:lpstr>
      <vt:lpstr>last</vt:lpstr>
      <vt:lpstr>mu</vt:lpstr>
      <vt:lpstr>payoff</vt:lpstr>
      <vt:lpstr>put</vt:lpstr>
      <vt:lpstr>sigma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2026-02-23T20:58:14Z</dcterms:created>
  <dcterms:modified xsi:type="dcterms:W3CDTF">2026-02-26T23:41:26Z</dcterms:modified>
</cp:coreProperties>
</file>